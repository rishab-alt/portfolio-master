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ancoll.sharepoint.com/sites/TLevelFoundationGroup_1/Student Work/Working files/Rish Saddiq/Unit 09 Spreadsheet Development _Assignment 0 2/"/>
    </mc:Choice>
  </mc:AlternateContent>
  <xr:revisionPtr revIDLastSave="0" documentId="8_{855DF9E6-EB80-4C61-9C45-A5CF8159DE0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_Menu" sheetId="1" r:id="rId1"/>
    <sheet name="Ticket_Holder_Details" sheetId="5" r:id="rId2"/>
    <sheet name="Summary_Of_Information" sheetId="6" r:id="rId3"/>
    <sheet name="Season_Ticket_Holder_Details_" sheetId="4" r:id="rId4"/>
  </sheets>
  <definedNames>
    <definedName name="Applications">#REF!</definedName>
    <definedName name="price">Football4[[Ticket Price ]]</definedName>
    <definedName name="Ticketprice">#REF!</definedName>
  </definedNames>
  <calcPr calcId="191028" calcMode="autoNoTable"/>
  <pivotCaches>
    <pivotCache cacheId="812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5" l="1"/>
  <c r="R15" i="6"/>
  <c r="R16" i="6"/>
  <c r="P40" i="5"/>
  <c r="S40" i="5"/>
  <c r="P39" i="5" l="1"/>
  <c r="S39" i="5"/>
  <c r="O19" i="6"/>
  <c r="S14" i="5" l="1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Q15" i="5"/>
  <c r="R17" i="6" s="1"/>
  <c r="R18" i="6" s="1"/>
  <c r="P15" i="5"/>
  <c r="P14" i="5"/>
  <c r="P13" i="5"/>
  <c r="O14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S39" i="4"/>
  <c r="P39" i="4"/>
  <c r="S38" i="4"/>
  <c r="P38" i="4"/>
  <c r="S37" i="4"/>
  <c r="P37" i="4"/>
  <c r="S36" i="4"/>
  <c r="P36" i="4"/>
  <c r="S35" i="4"/>
  <c r="P35" i="4"/>
  <c r="S34" i="4"/>
  <c r="P34" i="4"/>
  <c r="S33" i="4"/>
  <c r="P33" i="4"/>
  <c r="S32" i="4"/>
  <c r="P32" i="4"/>
  <c r="S31" i="4"/>
  <c r="P31" i="4"/>
  <c r="S30" i="4"/>
  <c r="P30" i="4"/>
  <c r="S29" i="4"/>
  <c r="P29" i="4"/>
  <c r="S28" i="4"/>
  <c r="P28" i="4"/>
  <c r="S27" i="4"/>
  <c r="P27" i="4"/>
  <c r="S26" i="4"/>
  <c r="P26" i="4"/>
  <c r="S25" i="4"/>
  <c r="P25" i="4"/>
  <c r="S24" i="4"/>
  <c r="P24" i="4"/>
  <c r="S23" i="4"/>
  <c r="P23" i="4"/>
  <c r="S22" i="4"/>
  <c r="P22" i="4"/>
  <c r="S21" i="4"/>
  <c r="P21" i="4"/>
  <c r="S20" i="4"/>
  <c r="P20" i="4"/>
  <c r="S19" i="4"/>
  <c r="P19" i="4"/>
  <c r="S18" i="4"/>
  <c r="P18" i="4"/>
  <c r="S17" i="4"/>
  <c r="P17" i="4"/>
  <c r="S16" i="4"/>
  <c r="P16" i="4"/>
  <c r="S15" i="4"/>
  <c r="P15" i="4"/>
  <c r="S14" i="4"/>
  <c r="P14" i="4"/>
  <c r="Q41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rish saddiq</author>
  </authors>
  <commentList>
    <comment ref="Y23" authorId="0" shapeId="0" xr:uid="{EB2F7CA3-E59D-4A80-ABB8-84C42893A8F7}">
      <text>
        <r>
          <rPr>
            <b/>
            <sz val="9"/>
            <color rgb="FF000000"/>
            <rFont val="Tahoma"/>
            <family val="2"/>
          </rPr>
          <t>rish saddiq: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5"/>
            <color rgb="FF000000"/>
            <rFont val="Tahoma"/>
            <family val="2"/>
          </rPr>
          <t xml:space="preserve"> this chart shows people who bought adult , child and concession</t>
        </r>
      </text>
    </comment>
    <comment ref="Z33" authorId="0" shapeId="0" xr:uid="{D5B0C46D-8E89-4527-80C2-AF3F949D0BEE}">
      <text>
        <r>
          <rPr>
            <b/>
            <sz val="9"/>
            <color rgb="FF000000"/>
            <rFont val="Tahoma"/>
            <family val="2"/>
          </rPr>
          <t>rish saddiq: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5"/>
            <color rgb="FF000000"/>
            <rFont val="Tahoma"/>
            <family val="2"/>
          </rPr>
          <t>This Pie chart shows how many applications were successful or unsucessfull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rish saddiq</author>
  </authors>
  <commentList>
    <comment ref="M63" authorId="0" shapeId="0" xr:uid="{00000000-0006-0000-0300-000002000000}">
      <text>
        <r>
          <rPr>
            <b/>
            <sz val="9"/>
            <color rgb="FF000000"/>
            <rFont val="Tahoma"/>
            <family val="2"/>
          </rPr>
          <t>rish saddiq: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5"/>
            <color rgb="FF000000"/>
            <rFont val="Tahoma"/>
            <family val="2"/>
          </rPr>
          <t>this chart showes how many people baught Adult , Child and Concession</t>
        </r>
      </text>
    </comment>
    <comment ref="J66" authorId="0" shapeId="0" xr:uid="{00000000-0006-0000-0300-000001000000}">
      <text>
        <r>
          <rPr>
            <b/>
            <sz val="9"/>
            <color rgb="FF000000"/>
            <rFont val="Tahoma"/>
            <family val="2"/>
          </rPr>
          <t>rish saddiq: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5"/>
            <color rgb="FF000000"/>
            <rFont val="Tahoma"/>
            <family val="2"/>
          </rPr>
          <t>This chart shows sucesfull and unsucessfull applications</t>
        </r>
      </text>
    </comment>
  </commentList>
</comments>
</file>

<file path=xl/sharedStrings.xml><?xml version="1.0" encoding="utf-8"?>
<sst xmlns="http://schemas.openxmlformats.org/spreadsheetml/2006/main" count="447" uniqueCount="162">
  <si>
    <t>Football Spreadsheet</t>
  </si>
  <si>
    <t>Ticket Holder Details</t>
  </si>
  <si>
    <t>Manchester City's Website</t>
  </si>
  <si>
    <t>ID</t>
  </si>
  <si>
    <t xml:space="preserve">First Name </t>
  </si>
  <si>
    <t>Surname</t>
  </si>
  <si>
    <t>Address</t>
  </si>
  <si>
    <t xml:space="preserve">Contact Details </t>
  </si>
  <si>
    <t>Ticket Type</t>
  </si>
  <si>
    <t xml:space="preserve">Date of Application </t>
  </si>
  <si>
    <t>Requested Seating</t>
  </si>
  <si>
    <t>Allocated Seating</t>
  </si>
  <si>
    <t>Application Success</t>
  </si>
  <si>
    <t xml:space="preserve">Ticket Price </t>
  </si>
  <si>
    <t xml:space="preserve">Ticket Expiry date </t>
  </si>
  <si>
    <t xml:space="preserve">Unique Ticket Code </t>
  </si>
  <si>
    <t xml:space="preserve">Jonathan </t>
  </si>
  <si>
    <t>Stubbs</t>
  </si>
  <si>
    <t>7 Turnberry Drive OL4 2WS Oldham</t>
  </si>
  <si>
    <t>01610921877</t>
  </si>
  <si>
    <t>Concession</t>
  </si>
  <si>
    <t>N1407</t>
  </si>
  <si>
    <t xml:space="preserve">E336 </t>
  </si>
  <si>
    <t xml:space="preserve">Chris </t>
  </si>
  <si>
    <t>Bradley</t>
  </si>
  <si>
    <t>29 Mill Pond Avenue SK3 5TG Stockport</t>
  </si>
  <si>
    <t>01614487980</t>
  </si>
  <si>
    <t>W101</t>
  </si>
  <si>
    <t xml:space="preserve">Carol </t>
  </si>
  <si>
    <t>Goods</t>
  </si>
  <si>
    <t xml:space="preserve">10 Davenport Street M28 1HB Worsley </t>
  </si>
  <si>
    <t>01610192837</t>
  </si>
  <si>
    <t>STH127</t>
  </si>
  <si>
    <t>Josh</t>
  </si>
  <si>
    <t xml:space="preserve">Cunnigham </t>
  </si>
  <si>
    <t>159 Brentwood Drive M24 1AH  Middelton</t>
  </si>
  <si>
    <t>01616574831</t>
  </si>
  <si>
    <t>Child</t>
  </si>
  <si>
    <t>N1405</t>
  </si>
  <si>
    <t xml:space="preserve">Ellie </t>
  </si>
  <si>
    <t>Fennel</t>
  </si>
  <si>
    <t xml:space="preserve">117 Cawdor Street M17 1RG Eccles </t>
  </si>
  <si>
    <t>01611426379</t>
  </si>
  <si>
    <t>Adult</t>
  </si>
  <si>
    <t>N1411</t>
  </si>
  <si>
    <t>NW3430</t>
  </si>
  <si>
    <t xml:space="preserve">Adil </t>
  </si>
  <si>
    <t xml:space="preserve">Mitha </t>
  </si>
  <si>
    <t>44 Caracalla Way PR3 6YV Preston</t>
  </si>
  <si>
    <t>01772392314</t>
  </si>
  <si>
    <t>NE3425</t>
  </si>
  <si>
    <t xml:space="preserve">Mike </t>
  </si>
  <si>
    <t xml:space="preserve">Kniveton </t>
  </si>
  <si>
    <t>22 Asquith Drive M35 0TR Failsworth</t>
  </si>
  <si>
    <t>01610853250</t>
  </si>
  <si>
    <t>E132</t>
  </si>
  <si>
    <t>E334</t>
  </si>
  <si>
    <t xml:space="preserve">Ceri </t>
  </si>
  <si>
    <t xml:space="preserve">Jones </t>
  </si>
  <si>
    <t>89 Hocker Lane WN8 3JA Wigan</t>
  </si>
  <si>
    <t>01942397465</t>
  </si>
  <si>
    <t>N1403</t>
  </si>
  <si>
    <t xml:space="preserve">Paul </t>
  </si>
  <si>
    <t>Wieldon</t>
  </si>
  <si>
    <t>46 Alma Lane BL9 7HX Bury</t>
  </si>
  <si>
    <t>01204524843</t>
  </si>
  <si>
    <t>W103</t>
  </si>
  <si>
    <t xml:space="preserve">Ari </t>
  </si>
  <si>
    <t>Shekhani</t>
  </si>
  <si>
    <t>Kenmuir Avenue M26 5LQ Radcliff</t>
  </si>
  <si>
    <t>01619182734</t>
  </si>
  <si>
    <t>N4401</t>
  </si>
  <si>
    <t xml:space="preserve">Rajeesh </t>
  </si>
  <si>
    <t>Bala</t>
  </si>
  <si>
    <t>67 Rutland Lane M30 8JZ Stretford</t>
  </si>
  <si>
    <t>01612233445</t>
  </si>
  <si>
    <t>STH122</t>
  </si>
  <si>
    <t xml:space="preserve">Gary </t>
  </si>
  <si>
    <t xml:space="preserve">Cookson </t>
  </si>
  <si>
    <t>3 Brownly Road M22 0RT Wythensaw</t>
  </si>
  <si>
    <t>01617564432</t>
  </si>
  <si>
    <t>W3106</t>
  </si>
  <si>
    <t xml:space="preserve">Karen </t>
  </si>
  <si>
    <t>Kay</t>
  </si>
  <si>
    <t>346 Victoria Avenue SK11 0TB Macclesfield</t>
  </si>
  <si>
    <t>01625476920</t>
  </si>
  <si>
    <t>W104</t>
  </si>
  <si>
    <t>W3105</t>
  </si>
  <si>
    <t>Glynne</t>
  </si>
  <si>
    <t>Smith</t>
  </si>
  <si>
    <t xml:space="preserve">76 Washway Road SK13 4GJ Glossip </t>
  </si>
  <si>
    <t>01457726354</t>
  </si>
  <si>
    <t>E135</t>
  </si>
  <si>
    <t xml:space="preserve">Arif </t>
  </si>
  <si>
    <t>Qureshi</t>
  </si>
  <si>
    <t xml:space="preserve">8 Birtles Lane  WA15 9BQ Warrington  </t>
  </si>
  <si>
    <t>01925102938</t>
  </si>
  <si>
    <t>STH124</t>
  </si>
  <si>
    <t>N3405</t>
  </si>
  <si>
    <t xml:space="preserve">Haris </t>
  </si>
  <si>
    <t>Amber</t>
  </si>
  <si>
    <t>Kapur</t>
  </si>
  <si>
    <t xml:space="preserve">256 Atherleigh Way WN7 2FK Leigh </t>
  </si>
  <si>
    <t>01942652301</t>
  </si>
  <si>
    <t>E231</t>
  </si>
  <si>
    <t>Mark</t>
  </si>
  <si>
    <t>Alderd</t>
  </si>
  <si>
    <t xml:space="preserve">11 Great Ducie Street SK22 3PY Marple </t>
  </si>
  <si>
    <t>01613434567</t>
  </si>
  <si>
    <t>E136</t>
  </si>
  <si>
    <t>E331</t>
  </si>
  <si>
    <t xml:space="preserve">Chloe </t>
  </si>
  <si>
    <t xml:space="preserve">Sarfaraj </t>
  </si>
  <si>
    <t>Patel</t>
  </si>
  <si>
    <t>34 Derby Street M14 6AS Manchester</t>
  </si>
  <si>
    <t>01619876545</t>
  </si>
  <si>
    <t>N1406</t>
  </si>
  <si>
    <t>NE3420</t>
  </si>
  <si>
    <t>Asif</t>
  </si>
  <si>
    <t xml:space="preserve">Naqvi </t>
  </si>
  <si>
    <t>4 Armadale Road BL3 4VC Bolton</t>
  </si>
  <si>
    <t>01204523476</t>
  </si>
  <si>
    <t xml:space="preserve">Tariq </t>
  </si>
  <si>
    <t xml:space="preserve">Mohammed </t>
  </si>
  <si>
    <t>126 Station Road OL16 2DN Rochdale</t>
  </si>
  <si>
    <t>01706348901</t>
  </si>
  <si>
    <t>FAMW206</t>
  </si>
  <si>
    <t xml:space="preserve">Musa </t>
  </si>
  <si>
    <t xml:space="preserve">Majdi </t>
  </si>
  <si>
    <t>Ticket type</t>
  </si>
  <si>
    <t>Ticket price</t>
  </si>
  <si>
    <t>Rajeev</t>
  </si>
  <si>
    <t>Suri</t>
  </si>
  <si>
    <t>23 Portland Street M20 5BL Manchester</t>
  </si>
  <si>
    <t>01613423489</t>
  </si>
  <si>
    <t>N1404</t>
  </si>
  <si>
    <t>rish</t>
  </si>
  <si>
    <t>saddiq</t>
  </si>
  <si>
    <t>14 quirkway m13 3dp</t>
  </si>
  <si>
    <t>07812333128</t>
  </si>
  <si>
    <t>A28</t>
  </si>
  <si>
    <t>B2</t>
  </si>
  <si>
    <t>sisnsjsjsj</t>
  </si>
  <si>
    <t>sjsjssjsj</t>
  </si>
  <si>
    <t>sskslmkl1-wskssksklsnqsl</t>
  </si>
  <si>
    <t>A22</t>
  </si>
  <si>
    <t>A44</t>
  </si>
  <si>
    <t>wwwuwwu</t>
  </si>
  <si>
    <t>jwjwwnwn</t>
  </si>
  <si>
    <t>wwwhwwgw</t>
  </si>
  <si>
    <t>Q12</t>
  </si>
  <si>
    <t>Row Labels</t>
  </si>
  <si>
    <t xml:space="preserve">Sum of Ticket Price </t>
  </si>
  <si>
    <t>Price Average</t>
  </si>
  <si>
    <t xml:space="preserve">Concession </t>
  </si>
  <si>
    <t>Grand Total</t>
  </si>
  <si>
    <t>Average</t>
  </si>
  <si>
    <t>Season Ticket Information</t>
  </si>
  <si>
    <t>Requested Seating Area</t>
  </si>
  <si>
    <t>Allocated Seating Area</t>
  </si>
  <si>
    <t>Restrictions?</t>
  </si>
  <si>
    <t>Outcome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</si>
</sst>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£&quot;#,##0;[Red]\-&quot;£&quot;#,##0"/>
    <numFmt numFmtId="164" formatCode="[$£-809]#,##0.00;[Red]&quot;-&quot;[$£-809]#,##0.00"/>
    <numFmt numFmtId="165" formatCode="&quot; &quot;[$£-809]* #,##0.00&quot; &quot;;&quot;-&quot;[$£-809]* #,##0.00&quot; &quot;;&quot; &quot;[$£-809]* &quot;-&quot;#&quot; &quot;;&quot; &quot;@&quot; &quot;"/>
    <numFmt numFmtId="166" formatCode="0.0000"/>
  </numFmts>
  <fonts count="19"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9C5700"/>
      <name val="Calibri"/>
      <family val="2"/>
    </font>
    <font>
      <sz val="11"/>
      <color rgb="FF9C0006"/>
      <name val="Calibri"/>
      <family val="2"/>
    </font>
    <font>
      <sz val="11"/>
      <color rgb="FF006100"/>
      <name val="Calibri"/>
      <family val="2"/>
    </font>
    <font>
      <b/>
      <sz val="16"/>
      <color rgb="FF000000"/>
      <name val="Bahnschrift"/>
      <family val="2"/>
    </font>
    <font>
      <b/>
      <sz val="11"/>
      <color rgb="FF000000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5"/>
      <color rgb="FF000000"/>
      <name val="Tahoma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</font>
    <font>
      <b/>
      <sz val="45"/>
      <color rgb="FF000000"/>
      <name val="Calibri"/>
      <family val="2"/>
    </font>
    <font>
      <u/>
      <sz val="25"/>
      <color theme="10"/>
      <name val="Calibri"/>
      <family val="2"/>
    </font>
    <font>
      <b/>
      <sz val="17"/>
      <color rgb="FF000000"/>
      <name val="Calibri"/>
      <family val="2"/>
    </font>
    <font>
      <sz val="17"/>
      <color rgb="FF000000"/>
      <name val="Calibri"/>
      <family val="2"/>
    </font>
    <font>
      <sz val="25"/>
      <color rgb="FF000000"/>
      <name val="Calibri"/>
      <family val="2"/>
    </font>
    <font>
      <b/>
      <sz val="25"/>
      <color rgb="FF000000"/>
      <name val="Calibri"/>
      <family val="2"/>
    </font>
    <font>
      <b/>
      <sz val="27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EB9C"/>
        <bgColor rgb="FFFFEB9C"/>
      </patternFill>
    </fill>
    <fill>
      <patternFill patternType="solid">
        <fgColor rgb="FFFFC7CE"/>
        <bgColor rgb="FFFFC7CE"/>
      </patternFill>
    </fill>
    <fill>
      <patternFill patternType="solid">
        <fgColor rgb="FFC6EFCE"/>
        <bgColor rgb="FFC6EFCE"/>
      </patternFill>
    </fill>
    <fill>
      <patternFill patternType="solid">
        <fgColor rgb="FFB1BBCB"/>
        <bgColor rgb="FFB1BBCB"/>
      </patternFill>
    </fill>
    <fill>
      <patternFill patternType="solid">
        <fgColor rgb="FFD8D2D9"/>
        <bgColor rgb="FFD8D2D9"/>
      </patternFill>
    </fill>
    <fill>
      <patternFill patternType="solid">
        <fgColor rgb="FF9BC7CE"/>
        <bgColor rgb="FF9BC7CE"/>
      </patternFill>
    </fill>
    <fill>
      <patternFill patternType="solid">
        <fgColor rgb="FFFF7C80"/>
        <bgColor rgb="FFFF7C80"/>
      </patternFill>
    </fill>
    <fill>
      <patternFill patternType="solid">
        <fgColor rgb="FF00A44A"/>
        <bgColor rgb="FF00A44A"/>
      </patternFill>
    </fill>
    <fill>
      <patternFill patternType="solid">
        <fgColor rgb="FF8FA2CF"/>
        <bgColor rgb="FF8FA2CF"/>
      </patternFill>
    </fill>
    <fill>
      <patternFill patternType="solid">
        <fgColor rgb="FFA9CCEF"/>
        <bgColor rgb="FFA9CCEF"/>
      </patternFill>
    </fill>
    <fill>
      <patternFill patternType="solid">
        <fgColor rgb="FF7EB3E7"/>
        <bgColor rgb="FF7EB3E7"/>
      </patternFill>
    </fill>
    <fill>
      <patternFill patternType="solid">
        <fgColor rgb="FF9FC4E3"/>
        <bgColor rgb="FF9FC4E3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rgb="FF8FA2CF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165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2" fillId="2" borderId="0" applyNumberFormat="0" applyBorder="0" applyAlignment="0" applyProtection="0"/>
    <xf numFmtId="0" fontId="4" fillId="4" borderId="0" applyNumberFormat="0" applyBorder="0" applyAlignment="0" applyProtection="0"/>
    <xf numFmtId="0" fontId="3" fillId="3" borderId="0" applyNumberFormat="0" applyBorder="0" applyAlignment="0" applyProtection="0"/>
    <xf numFmtId="0" fontId="1" fillId="5" borderId="0" applyNumberFormat="0" applyFont="0" applyBorder="0" applyAlignment="0" applyProtection="0"/>
    <xf numFmtId="0" fontId="1" fillId="6" borderId="0" applyNumberFormat="0" applyFont="0" applyBorder="0" applyAlignment="0" applyProtection="0"/>
    <xf numFmtId="0" fontId="1" fillId="7" borderId="0" applyNumberFormat="0" applyFont="0" applyBorder="0" applyAlignment="0" applyProtection="0"/>
    <xf numFmtId="0" fontId="3" fillId="3" borderId="0" applyNumberFormat="0" applyBorder="0" applyAlignment="0" applyProtection="0"/>
    <xf numFmtId="0" fontId="1" fillId="8" borderId="0" applyNumberFormat="0" applyFont="0" applyBorder="0" applyAlignment="0" applyProtection="0"/>
    <xf numFmtId="0" fontId="1" fillId="9" borderId="0" applyNumberFormat="0" applyFon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55">
    <xf numFmtId="0" fontId="0" fillId="0" borderId="0" xfId="0"/>
    <xf numFmtId="0" fontId="5" fillId="10" borderId="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2" xfId="0" applyFont="1" applyFill="1" applyBorder="1"/>
    <xf numFmtId="0" fontId="5" fillId="10" borderId="0" xfId="0" applyFont="1" applyFill="1"/>
    <xf numFmtId="0" fontId="5" fillId="0" borderId="0" xfId="0" applyFont="1"/>
    <xf numFmtId="0" fontId="6" fillId="10" borderId="0" xfId="0" applyFont="1" applyFill="1"/>
    <xf numFmtId="0" fontId="0" fillId="13" borderId="0" xfId="0" applyFill="1"/>
    <xf numFmtId="165" fontId="1" fillId="13" borderId="0" xfId="1" applyFill="1"/>
    <xf numFmtId="165" fontId="0" fillId="13" borderId="0" xfId="0" applyNumberFormat="1" applyFill="1"/>
    <xf numFmtId="0" fontId="6" fillId="13" borderId="0" xfId="0" applyFont="1" applyFill="1"/>
    <xf numFmtId="0" fontId="10" fillId="10" borderId="1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0" borderId="0" xfId="0" applyFont="1" applyFill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4" fillId="11" borderId="1" xfId="0" applyFont="1" applyFill="1" applyBorder="1" applyAlignment="1">
      <alignment horizontal="center"/>
    </xf>
    <xf numFmtId="0" fontId="14" fillId="12" borderId="2" xfId="0" applyFont="1" applyFill="1" applyBorder="1" applyAlignment="1">
      <alignment horizontal="center"/>
    </xf>
    <xf numFmtId="0" fontId="14" fillId="11" borderId="2" xfId="0" applyFont="1" applyFill="1" applyBorder="1"/>
    <xf numFmtId="49" fontId="14" fillId="11" borderId="2" xfId="0" applyNumberFormat="1" applyFont="1" applyFill="1" applyBorder="1"/>
    <xf numFmtId="49" fontId="14" fillId="0" borderId="2" xfId="0" applyNumberFormat="1" applyFont="1" applyBorder="1" applyAlignment="1">
      <alignment horizontal="center"/>
    </xf>
    <xf numFmtId="14" fontId="14" fillId="11" borderId="2" xfId="0" applyNumberFormat="1" applyFont="1" applyFill="1" applyBorder="1" applyAlignment="1">
      <alignment horizontal="center"/>
    </xf>
    <xf numFmtId="0" fontId="14" fillId="11" borderId="2" xfId="0" applyFont="1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164" fontId="14" fillId="11" borderId="2" xfId="0" applyNumberFormat="1" applyFont="1" applyFill="1" applyBorder="1" applyAlignment="1">
      <alignment horizontal="center"/>
    </xf>
    <xf numFmtId="0" fontId="14" fillId="13" borderId="0" xfId="0" applyFont="1" applyFill="1" applyAlignment="1">
      <alignment horizontal="center"/>
    </xf>
    <xf numFmtId="49" fontId="14" fillId="11" borderId="2" xfId="0" applyNumberFormat="1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13" fillId="0" borderId="0" xfId="17" applyFont="1" applyAlignment="1">
      <alignment horizontal="center"/>
    </xf>
    <xf numFmtId="165" fontId="6" fillId="13" borderId="0" xfId="1" applyFont="1" applyFill="1"/>
    <xf numFmtId="165" fontId="6" fillId="13" borderId="0" xfId="0" applyNumberFormat="1" applyFont="1" applyFill="1"/>
    <xf numFmtId="0" fontId="0" fillId="16" borderId="0" xfId="0" applyFill="1"/>
    <xf numFmtId="0" fontId="16" fillId="0" borderId="0" xfId="0" pivotButton="1" applyFont="1"/>
    <xf numFmtId="0" fontId="16" fillId="0" borderId="0" xfId="0" applyFont="1" applyAlignment="1">
      <alignment horizontal="left"/>
    </xf>
    <xf numFmtId="2" fontId="18" fillId="18" borderId="0" xfId="0" applyNumberFormat="1" applyFont="1" applyFill="1"/>
    <xf numFmtId="0" fontId="16" fillId="19" borderId="0" xfId="0" applyFont="1" applyFill="1" applyAlignment="1">
      <alignment horizontal="left"/>
    </xf>
    <xf numFmtId="0" fontId="16" fillId="20" borderId="0" xfId="0" applyFont="1" applyFill="1" applyAlignment="1">
      <alignment horizontal="left"/>
    </xf>
    <xf numFmtId="0" fontId="16" fillId="21" borderId="0" xfId="0" applyFont="1" applyFill="1" applyAlignment="1">
      <alignment horizontal="left"/>
    </xf>
    <xf numFmtId="0" fontId="17" fillId="18" borderId="0" xfId="0" applyFont="1" applyFill="1" applyAlignment="1">
      <alignment horizontal="left"/>
    </xf>
    <xf numFmtId="164" fontId="15" fillId="0" borderId="0" xfId="0" applyNumberFormat="1" applyFont="1"/>
    <xf numFmtId="14" fontId="15" fillId="0" borderId="0" xfId="0" applyNumberFormat="1" applyFont="1"/>
    <xf numFmtId="6" fontId="15" fillId="0" borderId="0" xfId="0" applyNumberFormat="1" applyFont="1"/>
    <xf numFmtId="0" fontId="14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6" fillId="22" borderId="4" xfId="0" applyFont="1" applyFill="1" applyBorder="1" applyAlignment="1">
      <alignment horizontal="center"/>
    </xf>
    <xf numFmtId="0" fontId="0" fillId="22" borderId="0" xfId="0" applyFill="1"/>
    <xf numFmtId="2" fontId="0" fillId="22" borderId="0" xfId="0" applyNumberFormat="1" applyFill="1"/>
    <xf numFmtId="2" fontId="0" fillId="22" borderId="3" xfId="0" applyNumberFormat="1" applyFill="1" applyBorder="1"/>
    <xf numFmtId="166" fontId="0" fillId="22" borderId="0" xfId="0" applyNumberFormat="1" applyFill="1"/>
    <xf numFmtId="0" fontId="17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12" fillId="14" borderId="0" xfId="0" applyFont="1" applyFill="1" applyAlignment="1">
      <alignment horizontal="center" vertical="center"/>
    </xf>
  </cellXfs>
  <cellStyles count="18">
    <cellStyle name="cf1" xfId="2" xr:uid="{00000000-0005-0000-0000-000000000000}"/>
    <cellStyle name="cf10" xfId="3" xr:uid="{00000000-0005-0000-0000-000001000000}"/>
    <cellStyle name="cf11" xfId="4" xr:uid="{00000000-0005-0000-0000-000002000000}"/>
    <cellStyle name="cf12" xfId="5" xr:uid="{00000000-0005-0000-0000-000003000000}"/>
    <cellStyle name="cf13" xfId="6" xr:uid="{00000000-0005-0000-0000-000004000000}"/>
    <cellStyle name="cf14" xfId="7" xr:uid="{00000000-0005-0000-0000-000005000000}"/>
    <cellStyle name="cf15" xfId="8" xr:uid="{00000000-0005-0000-0000-000006000000}"/>
    <cellStyle name="cf2" xfId="9" xr:uid="{00000000-0005-0000-0000-000007000000}"/>
    <cellStyle name="cf3" xfId="10" xr:uid="{00000000-0005-0000-0000-000008000000}"/>
    <cellStyle name="cf4" xfId="11" xr:uid="{00000000-0005-0000-0000-000009000000}"/>
    <cellStyle name="cf5" xfId="12" xr:uid="{00000000-0005-0000-0000-00000A000000}"/>
    <cellStyle name="cf6" xfId="13" xr:uid="{00000000-0005-0000-0000-00000B000000}"/>
    <cellStyle name="cf7" xfId="14" xr:uid="{00000000-0005-0000-0000-00000C000000}"/>
    <cellStyle name="cf8" xfId="15" xr:uid="{00000000-0005-0000-0000-00000D000000}"/>
    <cellStyle name="cf9" xfId="16" xr:uid="{00000000-0005-0000-0000-00000E000000}"/>
    <cellStyle name="Currency" xfId="1" builtinId="4" customBuiltin="1"/>
    <cellStyle name="Hyperlink" xfId="17" builtinId="8"/>
    <cellStyle name="Normal" xfId="0" builtinId="0" customBuiltin="1"/>
  </cellStyles>
  <dxfs count="71"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border outline="0">
        <left style="thin">
          <color rgb="FF000000"/>
        </left>
      </border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border outline="0">
        <left style="thin">
          <color rgb="FF000000"/>
        </left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border outline="0"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ont>
        <color rgb="FF006100"/>
        <family val="2"/>
      </font>
      <fill>
        <patternFill patternType="solid">
          <fgColor rgb="FFC6EFCE"/>
          <bgColor rgb="FFC6EFCE"/>
        </patternFill>
      </fill>
    </dxf>
    <dxf>
      <font>
        <color rgb="FF006100"/>
        <family val="2"/>
      </font>
      <fill>
        <patternFill patternType="solid">
          <fgColor rgb="FFC6EFCE"/>
          <bgColor rgb="FFC6EFCE"/>
        </patternFill>
      </fill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ont>
        <color rgb="FF006100"/>
        <family val="2"/>
      </font>
      <fill>
        <patternFill patternType="solid">
          <fgColor rgb="FFC6EFCE"/>
          <bgColor rgb="FFC6EFCE"/>
        </patternFill>
      </fill>
    </dxf>
    <dxf>
      <font>
        <color rgb="FF9C5700"/>
        <family val="2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9BC7CE"/>
          <bgColor rgb="FF9BC7CE"/>
        </patternFill>
      </fill>
    </dxf>
    <dxf>
      <fill>
        <patternFill patternType="solid">
          <fgColor rgb="FFD8D2D9"/>
          <bgColor rgb="FFD8D2D9"/>
        </patternFill>
      </fill>
    </dxf>
    <dxf>
      <fill>
        <patternFill patternType="solid">
          <fgColor rgb="FFB1BBCB"/>
          <bgColor rgb="FFB1BBCB"/>
        </patternFill>
      </fill>
    </dxf>
    <dxf>
      <font>
        <b/>
      </font>
    </dxf>
    <dxf>
      <font>
        <b/>
      </font>
      <fill>
        <patternFill patternType="solid">
          <fgColor rgb="FF9FC4E3"/>
          <bgColor rgb="FF9FC4E3"/>
        </patternFill>
      </fill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8FA2CF"/>
          <bgColor rgb="FF8FA2CF"/>
        </patternFill>
      </fill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numFmt numFmtId="164" formatCode="[$£-809]#,##0.00;[Red]&quot;-&quot;[$£-809]#,##0.00"/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color rgb="FF006100"/>
        <family val="2"/>
      </font>
      <fill>
        <patternFill patternType="solid">
          <fgColor rgb="FFC6EFCE"/>
          <bgColor rgb="FFC6EFCE"/>
        </patternFill>
      </fill>
    </dxf>
    <dxf>
      <font>
        <color rgb="FF9C0006"/>
        <family val="2"/>
      </font>
      <fill>
        <patternFill patternType="solid">
          <fgColor rgb="FFFFC7CE"/>
          <bgColor rgb="FFFFA7B1"/>
        </patternFill>
      </fill>
    </dxf>
    <dxf>
      <font>
        <color rgb="FF9C5700"/>
        <family val="2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9BC7CE"/>
          <bgColor rgb="FF9BC7CE"/>
        </patternFill>
      </fill>
    </dxf>
    <dxf>
      <fill>
        <patternFill patternType="solid">
          <fgColor rgb="FFD8D2D9"/>
          <bgColor theme="5" tint="0.59996337778862885"/>
        </patternFill>
      </fill>
    </dxf>
    <dxf>
      <fill>
        <patternFill patternType="solid">
          <fgColor rgb="FFB1BBCB"/>
          <bgColor rgb="FFB1BBCB"/>
        </patternFill>
      </fill>
    </dxf>
    <dxf>
      <font>
        <sz val="25"/>
      </font>
    </dxf>
    <dxf>
      <font>
        <sz val="25"/>
      </font>
    </dxf>
    <dxf>
      <font>
        <sz val="25"/>
      </font>
    </dxf>
    <dxf>
      <font>
        <sz val="25"/>
      </font>
    </dxf>
    <dxf>
      <font>
        <sz val="25"/>
      </font>
    </dxf>
    <dxf>
      <font>
        <sz val="25"/>
      </font>
    </dxf>
    <dxf>
      <fill>
        <patternFill patternType="solid">
          <bgColor theme="5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CDFEA8"/>
      <color rgb="FFFFA7A7"/>
      <color rgb="FFFFA7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600" b="0" i="0" u="none" strike="noStrike" kern="1200" cap="none" spc="50" baseline="0">
                <a:solidFill>
                  <a:srgbClr val="595959"/>
                </a:solidFill>
                <a:latin typeface="Calibri Light"/>
              </a:defRPr>
            </a:pPr>
            <a:r>
              <a:rPr lang="en-GB" sz="1600" b="0" i="0" u="none" strike="noStrike" kern="1200" cap="none" spc="50" baseline="0">
                <a:solidFill>
                  <a:srgbClr val="595959"/>
                </a:solidFill>
                <a:uFillTx/>
                <a:latin typeface="Calibri Light"/>
              </a:rPr>
              <a:t>Count of Ticket Type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bg2">
                <a:lumMod val="75000"/>
                <a:alpha val="70000"/>
              </a:schemeClr>
            </a:solidFill>
            <a:ln>
              <a:noFill/>
            </a:ln>
          </c:spPr>
          <c:invertIfNegative val="0"/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0-D961-4403-93DC-7716D2F1EC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40000"/>
                  <a:lumOff val="60000"/>
                  <a:alpha val="7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961-4403-93DC-7716D2F1EC69}"/>
              </c:ext>
            </c:extLst>
          </c:dPt>
          <c:cat>
            <c:strLit>
              <c:ptCount val="3"/>
              <c:pt idx="0">
                <c:v>Adult</c:v>
              </c:pt>
              <c:pt idx="1">
                <c:v>Child</c:v>
              </c:pt>
              <c:pt idx="2">
                <c:v>Concession 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4</c:v>
              </c:pt>
              <c:pt idx="2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0-CCB0-420C-93CC-BE3624146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628885648"/>
        <c:axId val="94752432"/>
      </c:barChart>
      <c:valAx>
        <c:axId val="94752432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F2F2F2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spc="2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628885648"/>
        <c:crosses val="autoZero"/>
        <c:crossBetween val="between"/>
      </c:valAx>
      <c:catAx>
        <c:axId val="16288856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5873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cap="none" spc="2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475243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9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 of Application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rgbClr val="FFA7A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DFEA8"/>
          </a:solidFill>
          <a:ln>
            <a:noFill/>
          </a:ln>
          <a:effectLst/>
        </c:spPr>
      </c:pivotFmt>
      <c:pivotFmt>
        <c:idx val="6"/>
        <c:spPr>
          <a:solidFill>
            <a:srgbClr val="FFA7A7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spPr>
            <a:solidFill>
              <a:srgbClr val="FFA7A7"/>
            </a:solidFill>
          </c:spPr>
          <c:dPt>
            <c:idx val="0"/>
            <c:bubble3D val="0"/>
            <c:spPr>
              <a:solidFill>
                <a:srgbClr val="CDFEA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71-4AA7-B12D-AD83387DA45E}"/>
              </c:ext>
            </c:extLst>
          </c:dPt>
          <c:dPt>
            <c:idx val="1"/>
            <c:bubble3D val="0"/>
            <c:spPr>
              <a:solidFill>
                <a:srgbClr val="FFA7A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71-4AA7-B12D-AD83387DA4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Successfull</c:v>
              </c:pt>
              <c:pt idx="1">
                <c:v>Unsucessfull</c:v>
              </c:pt>
            </c:strLit>
          </c:cat>
          <c:val>
            <c:numLit>
              <c:formatCode>General</c:formatCode>
              <c:ptCount val="2"/>
              <c:pt idx="0">
                <c:v>12</c:v>
              </c:pt>
              <c:pt idx="1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4-5871-4AA7-B12D-AD83387D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[Spreadsheet project_current_final 2.xlsm]Summary_Of_Information!PivotTable4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Summary_Of_Information!$O$14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DAE-4623-95A1-7CEBCF7848CB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DAE-4623-95A1-7CEBCF7848C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DAE-4623-95A1-7CEBCF7848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Summary_Of_Information!$N$15:$N$18</c:f>
              <c:strCache>
                <c:ptCount val="3"/>
                <c:pt idx="0">
                  <c:v>Adult</c:v>
                </c:pt>
                <c:pt idx="1">
                  <c:v>Child</c:v>
                </c:pt>
                <c:pt idx="2">
                  <c:v>Concession </c:v>
                </c:pt>
              </c:strCache>
            </c:strRef>
          </c:cat>
          <c:val>
            <c:numRef>
              <c:f>Summary_Of_Information!$O$15:$O$18</c:f>
              <c:numCache>
                <c:formatCode>General</c:formatCode>
                <c:ptCount val="3"/>
                <c:pt idx="0">
                  <c:v>1337.23</c:v>
                </c:pt>
                <c:pt idx="1">
                  <c:v>699.7</c:v>
                </c:pt>
                <c:pt idx="2">
                  <c:v>863.94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AE-4623-95A1-7CEBCF784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Summary_Of_Information!$R$14</c:f>
              <c:strCache>
                <c:ptCount val="1"/>
                <c:pt idx="0">
                  <c:v>Price Average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2-4E15-B6CE-8C2DAC3CFB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2-4E15-B6CE-8C2DAC3CFB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2-4E15-B6CE-8C2DAC3CFB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Summary_Of_Information!$R$15:$R$17</c:f>
              <c:numCache>
                <c:formatCode>0.00</c:formatCode>
                <c:ptCount val="3"/>
                <c:pt idx="0" formatCode="General">
                  <c:v>109.68999999999998</c:v>
                </c:pt>
                <c:pt idx="1">
                  <c:v>103.05842105263156</c:v>
                </c:pt>
                <c:pt idx="2">
                  <c:v>111.57192307692307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9-46D0-B4C2-60ED0574BA4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en-GB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Count of Application successful?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4472C4"/>
            </a:solidFill>
            <a:ln>
              <a:noFill/>
            </a:ln>
          </c:spPr>
          <c:invertIfNegative val="0"/>
          <c:cat>
            <c:strLit>
              <c:ptCount val="2"/>
              <c:pt idx="0">
                <c:v>Successful</c:v>
              </c:pt>
              <c:pt idx="1">
                <c:v>Unsucessfull</c:v>
              </c:pt>
            </c:strLit>
          </c:cat>
          <c:val>
            <c:numLit>
              <c:formatCode>General</c:formatCode>
              <c:ptCount val="2"/>
              <c:pt idx="0">
                <c:v>11</c:v>
              </c:pt>
              <c:pt idx="1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0BA7-4A7D-A106-587CF6C67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661264"/>
        <c:axId val="94747968"/>
      </c:barChart>
      <c:valAx>
        <c:axId val="94747968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628661264"/>
        <c:crosses val="autoZero"/>
        <c:crossBetween val="between"/>
      </c:valAx>
      <c:catAx>
        <c:axId val="1628661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474796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en-GB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Count of Ticket Type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4472C4"/>
            </a:solidFill>
            <a:ln>
              <a:noFill/>
            </a:ln>
          </c:spPr>
          <c:invertIfNegative val="0"/>
          <c:cat>
            <c:strLit>
              <c:ptCount val="3"/>
              <c:pt idx="0">
                <c:v>Adult</c:v>
              </c:pt>
              <c:pt idx="1">
                <c:v>Child</c:v>
              </c:pt>
              <c:pt idx="2">
                <c:v>Concession 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10</c:v>
              </c:pt>
              <c:pt idx="2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33DA-4C2E-8205-9AFFBDB80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658864"/>
        <c:axId val="94746480"/>
      </c:barChart>
      <c:valAx>
        <c:axId val="94746480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628658864"/>
        <c:crosses val="autoZero"/>
        <c:crossBetween val="between"/>
      </c:valAx>
      <c:catAx>
        <c:axId val="1628658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474648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Summary_Of_Information!A1"/><Relationship Id="rId1" Type="http://schemas.openxmlformats.org/officeDocument/2006/relationships/hyperlink" Target="#Ticket_Holder_Detail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ummary_Of_Information!A1"/><Relationship Id="rId2" Type="http://schemas.openxmlformats.org/officeDocument/2006/relationships/hyperlink" Target="#Main_Menu!A1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eason_Ticket_Holder_Details_!A1"/><Relationship Id="rId2" Type="http://schemas.openxmlformats.org/officeDocument/2006/relationships/hyperlink" Target="#Ticket_Holder_Details!A1"/><Relationship Id="rId1" Type="http://schemas.openxmlformats.org/officeDocument/2006/relationships/chart" Target="../charts/chart3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hyperlink" Target="#Main_Menu!A1"/><Relationship Id="rId1" Type="http://schemas.openxmlformats.org/officeDocument/2006/relationships/hyperlink" Target="#Summary_Of_Information!A1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1881313" cy="988749"/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28800" y="920750"/>
          <a:ext cx="1881313" cy="98874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Ticket Holder Details</a:t>
          </a:r>
        </a:p>
      </xdr:txBody>
    </xdr:sp>
    <xdr:clientData/>
  </xdr:oneCellAnchor>
  <xdr:oneCellAnchor>
    <xdr:from>
      <xdr:col>2</xdr:col>
      <xdr:colOff>603247</xdr:colOff>
      <xdr:row>13</xdr:row>
      <xdr:rowOff>152403</xdr:rowOff>
    </xdr:from>
    <xdr:ext cx="1880033" cy="991867"/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22447" y="2546353"/>
          <a:ext cx="1880033" cy="991867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Summary Of Information</a:t>
          </a:r>
        </a:p>
      </xdr:txBody>
    </xdr:sp>
    <xdr:clientData/>
  </xdr:oneCellAnchor>
  <xdr:oneCellAnchor>
    <xdr:from>
      <xdr:col>2</xdr:col>
      <xdr:colOff>590546</xdr:colOff>
      <xdr:row>24</xdr:row>
      <xdr:rowOff>69851</xdr:rowOff>
    </xdr:from>
    <xdr:ext cx="1880033" cy="988749"/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09746" y="4489451"/>
          <a:ext cx="1880033" cy="98874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Season Ticket Holder Details</a:t>
          </a:r>
        </a:p>
      </xdr:txBody>
    </xdr:sp>
    <xdr:clientData/>
  </xdr:oneCellAnchor>
  <xdr:twoCellAnchor editAs="oneCell">
    <xdr:from>
      <xdr:col>9</xdr:col>
      <xdr:colOff>355918</xdr:colOff>
      <xdr:row>8</xdr:row>
      <xdr:rowOff>114346</xdr:rowOff>
    </xdr:from>
    <xdr:to>
      <xdr:col>25</xdr:col>
      <xdr:colOff>127318</xdr:colOff>
      <xdr:row>29</xdr:row>
      <xdr:rowOff>49532</xdr:rowOff>
    </xdr:to>
    <xdr:pic>
      <xdr:nvPicPr>
        <xdr:cNvPr id="5" name="Picture 4" descr="Pin en bedava bahis oyna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3893" y="1593333"/>
          <a:ext cx="9545577" cy="3817528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280387</xdr:colOff>
      <xdr:row>10</xdr:row>
      <xdr:rowOff>180401</xdr:rowOff>
    </xdr:from>
    <xdr:ext cx="4604982" cy="3418566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192536</xdr:colOff>
      <xdr:row>44</xdr:row>
      <xdr:rowOff>108648</xdr:rowOff>
    </xdr:from>
    <xdr:ext cx="1893292" cy="939399"/>
    <xdr:sp macro="" textlink="">
      <xdr:nvSpPr>
        <xdr:cNvPr id="4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536449" y="11193539"/>
          <a:ext cx="1893292" cy="93939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Main Menu </a:t>
          </a:r>
        </a:p>
      </xdr:txBody>
    </xdr:sp>
    <xdr:clientData/>
  </xdr:oneCellAnchor>
  <xdr:oneCellAnchor>
    <xdr:from>
      <xdr:col>18</xdr:col>
      <xdr:colOff>38994</xdr:colOff>
      <xdr:row>43</xdr:row>
      <xdr:rowOff>87407</xdr:rowOff>
    </xdr:from>
    <xdr:ext cx="1906386" cy="939006"/>
    <xdr:sp macro="" textlink="">
      <xdr:nvSpPr>
        <xdr:cNvPr id="5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9845894" y="11238007"/>
          <a:ext cx="1906386" cy="939006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Summary of Information</a:t>
          </a:r>
        </a:p>
      </xdr:txBody>
    </xdr:sp>
    <xdr:clientData/>
  </xdr:oneCellAnchor>
  <xdr:twoCellAnchor>
    <xdr:from>
      <xdr:col>12</xdr:col>
      <xdr:colOff>469900</xdr:colOff>
      <xdr:row>42</xdr:row>
      <xdr:rowOff>139700</xdr:rowOff>
    </xdr:from>
    <xdr:to>
      <xdr:col>13</xdr:col>
      <xdr:colOff>1231900</xdr:colOff>
      <xdr:row>48</xdr:row>
      <xdr:rowOff>88900</xdr:rowOff>
    </xdr:to>
    <xdr:sp macro="[0]!Concessio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621500" y="11099800"/>
          <a:ext cx="2108200" cy="1092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500"/>
            <a:t>Concesssion Filter</a:t>
          </a:r>
        </a:p>
      </xdr:txBody>
    </xdr:sp>
    <xdr:clientData/>
  </xdr:twoCellAnchor>
  <xdr:twoCellAnchor>
    <xdr:from>
      <xdr:col>13</xdr:col>
      <xdr:colOff>1511300</xdr:colOff>
      <xdr:row>42</xdr:row>
      <xdr:rowOff>165100</xdr:rowOff>
    </xdr:from>
    <xdr:to>
      <xdr:col>14</xdr:col>
      <xdr:colOff>1371600</xdr:colOff>
      <xdr:row>46</xdr:row>
      <xdr:rowOff>12700</xdr:rowOff>
    </xdr:to>
    <xdr:sp macro="[0]!Family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2009100" y="5257800"/>
          <a:ext cx="2108200" cy="6096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500"/>
            <a:t>Family</a:t>
          </a:r>
          <a:r>
            <a:rPr lang="en-GB" sz="2500" baseline="0"/>
            <a:t> Filter</a:t>
          </a:r>
          <a:endParaRPr lang="en-GB" sz="2500"/>
        </a:p>
      </xdr:txBody>
    </xdr:sp>
    <xdr:clientData/>
  </xdr:twoCellAnchor>
  <xdr:oneCellAnchor>
    <xdr:from>
      <xdr:col>11</xdr:col>
      <xdr:colOff>2074916</xdr:colOff>
      <xdr:row>60</xdr:row>
      <xdr:rowOff>97163</xdr:rowOff>
    </xdr:from>
    <xdr:ext cx="184731" cy="937629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7466764" y="14053359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495300</xdr:colOff>
          <xdr:row>9</xdr:row>
          <xdr:rowOff>314325</xdr:rowOff>
        </xdr:from>
        <xdr:to>
          <xdr:col>22</xdr:col>
          <xdr:colOff>285750</xdr:colOff>
          <xdr:row>10</xdr:row>
          <xdr:rowOff>152400</xdr:rowOff>
        </xdr:to>
        <xdr:sp macro="" textlink="">
          <xdr:nvSpPr>
            <xdr:cNvPr id="6147" name="Label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Charts and graphs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252132</xdr:colOff>
      <xdr:row>23</xdr:row>
      <xdr:rowOff>177426</xdr:rowOff>
    </xdr:from>
    <xdr:to>
      <xdr:col>25</xdr:col>
      <xdr:colOff>267074</xdr:colOff>
      <xdr:row>33</xdr:row>
      <xdr:rowOff>119155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101600</xdr:colOff>
      <xdr:row>12</xdr:row>
      <xdr:rowOff>177800</xdr:rowOff>
    </xdr:from>
    <xdr:to>
      <xdr:col>16</xdr:col>
      <xdr:colOff>1591149</xdr:colOff>
      <xdr:row>20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343046</xdr:colOff>
      <xdr:row>23</xdr:row>
      <xdr:rowOff>21896</xdr:rowOff>
    </xdr:from>
    <xdr:ext cx="1893292" cy="939399"/>
    <xdr:sp macro="" textlink="">
      <xdr:nvSpPr>
        <xdr:cNvPr id="3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926552" y="5612816"/>
          <a:ext cx="1893292" cy="93939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Ticket Holder Details</a:t>
          </a:r>
        </a:p>
      </xdr:txBody>
    </xdr:sp>
    <xdr:clientData/>
  </xdr:oneCellAnchor>
  <xdr:oneCellAnchor>
    <xdr:from>
      <xdr:col>23</xdr:col>
      <xdr:colOff>158078</xdr:colOff>
      <xdr:row>22</xdr:row>
      <xdr:rowOff>43601</xdr:rowOff>
    </xdr:from>
    <xdr:ext cx="1893292" cy="939399"/>
    <xdr:sp macro="" textlink="">
      <xdr:nvSpPr>
        <xdr:cNvPr id="4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137683" y="5482877"/>
          <a:ext cx="1893292" cy="93939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Season Ticket Holder Details</a:t>
          </a:r>
        </a:p>
      </xdr:txBody>
    </xdr:sp>
    <xdr:clientData/>
  </xdr:oneCellAnchor>
  <xdr:twoCellAnchor>
    <xdr:from>
      <xdr:col>18</xdr:col>
      <xdr:colOff>182980</xdr:colOff>
      <xdr:row>12</xdr:row>
      <xdr:rowOff>190835</xdr:rowOff>
    </xdr:from>
    <xdr:to>
      <xdr:col>25</xdr:col>
      <xdr:colOff>485440</xdr:colOff>
      <xdr:row>20</xdr:row>
      <xdr:rowOff>68179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4094258</xdr:colOff>
      <xdr:row>64</xdr:row>
      <xdr:rowOff>29587</xdr:rowOff>
    </xdr:from>
    <xdr:ext cx="2894011" cy="948927"/>
    <xdr:sp macro="" textlink="">
      <xdr:nvSpPr>
        <xdr:cNvPr id="4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687875" y="13621289"/>
          <a:ext cx="2894011" cy="948927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Summary Of Information</a:t>
          </a:r>
        </a:p>
      </xdr:txBody>
    </xdr:sp>
    <xdr:clientData/>
  </xdr:oneCellAnchor>
  <xdr:oneCellAnchor>
    <xdr:from>
      <xdr:col>18</xdr:col>
      <xdr:colOff>478758</xdr:colOff>
      <xdr:row>59</xdr:row>
      <xdr:rowOff>161817</xdr:rowOff>
    </xdr:from>
    <xdr:ext cx="1926878" cy="938924"/>
    <xdr:sp macro="" textlink="">
      <xdr:nvSpPr>
        <xdr:cNvPr id="5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7106098" y="12807774"/>
          <a:ext cx="1926878" cy="938924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Main Menu </a:t>
          </a:r>
        </a:p>
      </xdr:txBody>
    </xdr:sp>
    <xdr:clientData/>
  </xdr:oneCellAnchor>
  <xdr:oneCellAnchor>
    <xdr:from>
      <xdr:col>8</xdr:col>
      <xdr:colOff>499984</xdr:colOff>
      <xdr:row>59</xdr:row>
      <xdr:rowOff>16527</xdr:rowOff>
    </xdr:from>
    <xdr:ext cx="6650833" cy="3788176"/>
    <xdr:graphicFrame macro="">
      <xdr:nvGraphicFramePr>
        <xdr:cNvPr id="2" name="Chart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11</xdr:col>
      <xdr:colOff>377033</xdr:colOff>
      <xdr:row>60</xdr:row>
      <xdr:rowOff>64612</xdr:rowOff>
    </xdr:from>
    <xdr:ext cx="4646615" cy="3748482"/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sh saddiq" refreshedDate="45236.570237384258" createdVersion="8" refreshedVersion="8" minRefreshableVersion="3" recordCount="26" xr:uid="{E282BC78-B5C8-4B99-93C5-763A31456868}">
  <cacheSource type="worksheet">
    <worksheetSource name="Football4"/>
  </cacheSource>
  <cacheFields count="13">
    <cacheField name="ID" numFmtId="0">
      <sharedItems containsSemiMixedTypes="0" containsString="0" containsNumber="1" containsInteger="1" minValue="1" maxValue="26"/>
    </cacheField>
    <cacheField name="First Name " numFmtId="0">
      <sharedItems/>
    </cacheField>
    <cacheField name="Surname" numFmtId="0">
      <sharedItems count="22">
        <s v="Stubbs"/>
        <s v="Bradley"/>
        <s v="Goods"/>
        <s v="Cunnigham "/>
        <s v="Fennel"/>
        <s v="Mitha "/>
        <s v="Kniveton "/>
        <s v="Jones "/>
        <s v="Wieldon"/>
        <s v="Shekhani"/>
        <s v="Bala"/>
        <s v="Cookson "/>
        <s v="Kay"/>
        <s v="Smith"/>
        <s v="Qureshi"/>
        <s v="Kapur"/>
        <s v="Alderd"/>
        <s v="Patel"/>
        <s v="Naqvi "/>
        <s v="Mohammed "/>
        <s v="Suri"/>
        <s v="saddiq"/>
      </sharedItems>
    </cacheField>
    <cacheField name="Address" numFmtId="0">
      <sharedItems count="22">
        <s v="7 Turnberry Drive OL4 2WS Oldham"/>
        <s v="29 Mill Pond Avenue SK3 5TG Stockport"/>
        <s v="10 Davenport Street M28 1HB Worsley "/>
        <s v="159 Brentwood Drive M24 1AH  Middelton"/>
        <s v="117 Cawdor Street M17 1RG Eccles "/>
        <s v="44 Caracalla Way PR3 6YV Preston"/>
        <s v="22 Asquith Drive M35 0TR Failsworth"/>
        <s v="89 Hocker Lane WN8 3JA Wigan"/>
        <s v="46 Alma Lane BL9 7HX Bury"/>
        <s v="Kenmuir Avenue M26 5LQ Radcliff"/>
        <s v="67 Rutland Lane M30 8JZ Stretford"/>
        <s v="3 Brownly Road M22 0RT Wythensaw"/>
        <s v="346 Victoria Avenue SK11 0TB Macclesfield"/>
        <s v="76 Washway Road SK13 4GJ Glossip "/>
        <s v="8 Birtles Lane  WA15 9BQ Warrington  "/>
        <s v="256 Atherleigh Way WN7 2FK Leigh "/>
        <s v="11 Great Ducie Street SK22 3PY Marple "/>
        <s v="34 Derby Street M14 6AS Manchester"/>
        <s v="4 Armadale Road BL3 4VC Bolton"/>
        <s v="126 Station Road OL16 2DN Rochdale"/>
        <s v="23 Portland Street M20 5BL Manchester"/>
        <s v="14 quirkway m13 3dp"/>
      </sharedItems>
    </cacheField>
    <cacheField name="Contact Details " numFmtId="49">
      <sharedItems/>
    </cacheField>
    <cacheField name="Ticket Type" numFmtId="49">
      <sharedItems count="3">
        <s v="Concession "/>
        <s v="Child"/>
        <s v="Adult"/>
      </sharedItems>
    </cacheField>
    <cacheField name="Date of Application " numFmtId="14">
      <sharedItems containsSemiMixedTypes="0" containsNonDate="0" containsDate="1" containsString="0" minDate="2022-12-15T00:00:00" maxDate="2023-10-31T00:00:00"/>
    </cacheField>
    <cacheField name="Requested Seating" numFmtId="0">
      <sharedItems/>
    </cacheField>
    <cacheField name="Allocated Seating" numFmtId="0">
      <sharedItems/>
    </cacheField>
    <cacheField name="Application Success" numFmtId="0">
      <sharedItems/>
    </cacheField>
    <cacheField name="Ticket Price " numFmtId="164">
      <sharedItems containsSemiMixedTypes="0" containsString="0" containsNumber="1" minValue="42.01" maxValue="222"/>
    </cacheField>
    <cacheField name="Ticket Expiry date " numFmtId="14">
      <sharedItems containsSemiMixedTypes="0" containsNonDate="0" containsDate="1" containsString="0" minDate="2023-10-25T00:00:00" maxDate="2023-11-20T00:00:00"/>
    </cacheField>
    <cacheField name="Unique Ticket Code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"/>
    <s v="Jonathan "/>
    <x v="0"/>
    <x v="0"/>
    <s v="01610921877"/>
    <x v="0"/>
    <d v="2023-04-12T00:00:00"/>
    <s v="N1407"/>
    <s v="E336 "/>
    <s v="Unsucessfull"/>
    <n v="54.72"/>
    <d v="2023-10-25T00:00:00"/>
    <s v="LR90279368WA"/>
  </r>
  <r>
    <n v="2"/>
    <s v="Chris "/>
    <x v="1"/>
    <x v="1"/>
    <s v="01614487980"/>
    <x v="0"/>
    <d v="2023-01-25T00:00:00"/>
    <s v="W101"/>
    <s v="W101"/>
    <s v="Successfull"/>
    <n v="110.56"/>
    <d v="2023-10-26T00:00:00"/>
    <s v="SD65852365FP"/>
  </r>
  <r>
    <n v="3"/>
    <s v="Carol "/>
    <x v="2"/>
    <x v="2"/>
    <s v="01610192837"/>
    <x v="0"/>
    <d v="2023-02-13T00:00:00"/>
    <s v="STH127"/>
    <s v="STH127"/>
    <s v="Successfull"/>
    <n v="100"/>
    <d v="2023-10-27T00:00:00"/>
    <s v="WB23818580BF"/>
  </r>
  <r>
    <n v="4"/>
    <s v="Josh"/>
    <x v="3"/>
    <x v="3"/>
    <s v="01616574831"/>
    <x v="1"/>
    <d v="2023-01-31T00:00:00"/>
    <s v="N1405"/>
    <s v="N1405"/>
    <s v="Successfull"/>
    <n v="110.1"/>
    <d v="2023-10-28T00:00:00"/>
    <s v="LR69096241HJ"/>
  </r>
  <r>
    <n v="5"/>
    <s v="Ellie "/>
    <x v="4"/>
    <x v="4"/>
    <s v="01611426379"/>
    <x v="2"/>
    <d v="2023-03-14T00:00:00"/>
    <s v="N1411"/>
    <s v="NW3430"/>
    <s v="Unsucessfull"/>
    <n v="82.95"/>
    <d v="2023-10-29T00:00:00"/>
    <s v="RU54064814FY"/>
  </r>
  <r>
    <n v="6"/>
    <s v="Adil "/>
    <x v="5"/>
    <x v="5"/>
    <s v="01772392314"/>
    <x v="2"/>
    <d v="2023-02-23T00:00:00"/>
    <s v="NE3425"/>
    <s v="NE3425"/>
    <s v="Successfull"/>
    <n v="187.95"/>
    <d v="2023-10-30T00:00:00"/>
    <s v="VB53369161BY"/>
  </r>
  <r>
    <n v="7"/>
    <s v="Mike "/>
    <x v="6"/>
    <x v="6"/>
    <s v="01610853250"/>
    <x v="0"/>
    <d v="2022-12-15T00:00:00"/>
    <s v="E132"/>
    <s v="E334"/>
    <s v="Unsucessfull"/>
    <n v="99.5"/>
    <d v="2023-10-31T00:00:00"/>
    <s v="MU54311304ZI"/>
  </r>
  <r>
    <n v="8"/>
    <s v="Ceri "/>
    <x v="7"/>
    <x v="7"/>
    <s v="01942397465"/>
    <x v="2"/>
    <d v="2023-01-19T00:00:00"/>
    <s v="N1403"/>
    <s v="N1403"/>
    <s v="Successfull"/>
    <n v="99.5"/>
    <d v="2023-11-01T00:00:00"/>
    <s v="JZ46352644GV"/>
  </r>
  <r>
    <n v="9"/>
    <s v="Paul "/>
    <x v="8"/>
    <x v="8"/>
    <s v="01204524843"/>
    <x v="0"/>
    <d v="2023-03-17T00:00:00"/>
    <s v="W103"/>
    <s v="W103"/>
    <s v="Successfull"/>
    <n v="165.84"/>
    <d v="2023-11-02T00:00:00"/>
    <s v="FV85099567GE"/>
  </r>
  <r>
    <n v="10"/>
    <s v="Ari "/>
    <x v="9"/>
    <x v="9"/>
    <s v="01619182734"/>
    <x v="2"/>
    <d v="2023-01-14T00:00:00"/>
    <s v="N1407"/>
    <s v="N4401"/>
    <s v="Unsucessfull"/>
    <n v="92.87"/>
    <d v="2023-11-03T00:00:00"/>
    <s v="ID56899717RZ"/>
  </r>
  <r>
    <n v="11"/>
    <s v="Rajeesh "/>
    <x v="10"/>
    <x v="10"/>
    <s v="01612233445"/>
    <x v="1"/>
    <d v="2023-02-02T00:00:00"/>
    <s v="STH122"/>
    <s v="STH122"/>
    <s v="Successfull"/>
    <n v="110.56"/>
    <d v="2023-11-04T00:00:00"/>
    <s v="GD43144443CW"/>
  </r>
  <r>
    <n v="12"/>
    <s v="Gary "/>
    <x v="11"/>
    <x v="11"/>
    <s v="01617564432"/>
    <x v="0"/>
    <d v="2022-12-28T00:00:00"/>
    <s v="W103"/>
    <s v="W3106"/>
    <s v="Unsucessfull"/>
    <n v="160.31"/>
    <d v="2023-11-05T00:00:00"/>
    <s v="NZ21905890BY"/>
  </r>
  <r>
    <n v="13"/>
    <s v="Karen "/>
    <x v="12"/>
    <x v="12"/>
    <s v="01625476920"/>
    <x v="2"/>
    <d v="2023-01-29T00:00:00"/>
    <s v="W104"/>
    <s v="W3105"/>
    <s v="Unsucessfull"/>
    <n v="99.5"/>
    <d v="2023-11-06T00:00:00"/>
    <s v="PG38814066KQ"/>
  </r>
  <r>
    <n v="14"/>
    <s v="Glynne"/>
    <x v="13"/>
    <x v="13"/>
    <s v="01457726354"/>
    <x v="2"/>
    <d v="2023-02-14T00:00:00"/>
    <s v="E135"/>
    <s v="E135"/>
    <s v="Successfull"/>
    <n v="165.84"/>
    <d v="2023-11-07T00:00:00"/>
    <s v="OH73961793SN"/>
  </r>
  <r>
    <n v="15"/>
    <s v="Arif "/>
    <x v="14"/>
    <x v="14"/>
    <s v="01925102938"/>
    <x v="2"/>
    <d v="2023-01-19T00:00:00"/>
    <s v="STH124"/>
    <s v="N3405"/>
    <s v="Unsucessfull"/>
    <n v="59.7"/>
    <d v="2023-11-08T00:00:00"/>
    <s v="MX55522063GO"/>
  </r>
  <r>
    <n v="16"/>
    <s v="Haris "/>
    <x v="14"/>
    <x v="14"/>
    <s v="01925102938"/>
    <x v="1"/>
    <d v="2023-01-19T00:00:00"/>
    <s v="STH124"/>
    <s v="N3405"/>
    <s v="Unsucessfull"/>
    <n v="59.7"/>
    <d v="2023-11-09T00:00:00"/>
    <s v="CL68087670YP"/>
  </r>
  <r>
    <n v="17"/>
    <s v="Amber"/>
    <x v="15"/>
    <x v="15"/>
    <s v="01942652301"/>
    <x v="2"/>
    <d v="2023-01-01T00:00:00"/>
    <s v="W103"/>
    <s v="E231"/>
    <s v="Unsucessfull"/>
    <n v="55.28"/>
    <d v="2023-11-10T00:00:00"/>
    <s v="ZC81526016SM"/>
  </r>
  <r>
    <n v="18"/>
    <s v="Mark"/>
    <x v="16"/>
    <x v="16"/>
    <s v="01613434567"/>
    <x v="2"/>
    <d v="2023-02-12T00:00:00"/>
    <s v="E136"/>
    <s v="E331"/>
    <s v="Unsucessfull"/>
    <n v="66.34"/>
    <d v="2023-11-11T00:00:00"/>
    <s v="TU45181866UP"/>
  </r>
  <r>
    <n v="19"/>
    <s v="Chloe "/>
    <x v="16"/>
    <x v="16"/>
    <s v="01613434567"/>
    <x v="1"/>
    <d v="2023-02-12T00:00:00"/>
    <s v="E136"/>
    <s v="E331"/>
    <s v="Unsucessfull"/>
    <n v="66.34"/>
    <d v="2023-11-12T00:00:00"/>
    <s v="VV55911260JB"/>
  </r>
  <r>
    <n v="20"/>
    <s v="Sarfaraj "/>
    <x v="17"/>
    <x v="17"/>
    <s v="01619876545"/>
    <x v="0"/>
    <d v="2023-02-27T00:00:00"/>
    <s v="N1406"/>
    <s v="NE3420"/>
    <s v="Unsucessfull"/>
    <n v="42.01"/>
    <d v="2023-11-13T00:00:00"/>
    <s v="PT65962315NJ"/>
  </r>
  <r>
    <n v="21"/>
    <s v="Asif"/>
    <x v="18"/>
    <x v="18"/>
    <s v="01204523476"/>
    <x v="2"/>
    <d v="2023-01-02T00:00:00"/>
    <s v="W104"/>
    <s v="W103"/>
    <s v="Unsucessfull"/>
    <n v="102.82"/>
    <d v="2023-11-14T00:00:00"/>
    <s v="XU97669602GL"/>
  </r>
  <r>
    <n v="22"/>
    <s v="Tariq "/>
    <x v="19"/>
    <x v="19"/>
    <s v="01706348901"/>
    <x v="1"/>
    <d v="2023-03-14T00:00:00"/>
    <s v="FAMW206"/>
    <s v="FAMW206"/>
    <s v="Successfull"/>
    <n v="131"/>
    <d v="2023-11-15T00:00:00"/>
    <s v="OA28484492PR"/>
  </r>
  <r>
    <n v="23"/>
    <s v="Musa "/>
    <x v="19"/>
    <x v="19"/>
    <s v="01706348901"/>
    <x v="2"/>
    <d v="2023-03-14T00:00:00"/>
    <s v="FAMW206"/>
    <s v="FAMW206"/>
    <s v="Successfull"/>
    <n v="131"/>
    <d v="2023-11-16T00:00:00"/>
    <s v="QT67192520VS"/>
  </r>
  <r>
    <n v="24"/>
    <s v="Majdi "/>
    <x v="19"/>
    <x v="19"/>
    <s v="01706348901"/>
    <x v="0"/>
    <d v="2023-03-14T00:00:00"/>
    <s v="FAMW206"/>
    <s v="FAMW206"/>
    <s v="Successfull"/>
    <n v="131"/>
    <d v="2023-11-17T00:00:00"/>
    <s v="LM58673916FL"/>
  </r>
  <r>
    <n v="25"/>
    <s v="Rajeev"/>
    <x v="20"/>
    <x v="20"/>
    <s v="01613423489"/>
    <x v="2"/>
    <d v="2023-02-25T00:00:00"/>
    <s v="E135"/>
    <s v="N1404"/>
    <s v="Unsucessfull"/>
    <n v="193.48"/>
    <d v="2023-11-18T00:00:00"/>
    <s v="GX62512554OQ"/>
  </r>
  <r>
    <n v="26"/>
    <s v="rish"/>
    <x v="21"/>
    <x v="21"/>
    <s v="07812333128"/>
    <x v="1"/>
    <d v="2023-10-30T00:00:00"/>
    <s v="A28"/>
    <s v="B2"/>
    <s v="Unsucessfull"/>
    <n v="222"/>
    <d v="2023-11-19T00:00:00"/>
    <s v="OY27104213W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030C0-B905-4A84-A498-91CACE214F0F}" name="PivotTable9" cacheId="81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24:P43" firstHeaderRow="1" firstDataRow="1" firstDataCol="1"/>
  <pivotFields count="13">
    <pivotField showAll="0"/>
    <pivotField showAll="0"/>
    <pivotField axis="axisRow" showAll="0">
      <items count="23">
        <item x="16"/>
        <item x="10"/>
        <item x="1"/>
        <item x="11"/>
        <item x="3"/>
        <item x="4"/>
        <item x="2"/>
        <item x="7"/>
        <item x="15"/>
        <item x="12"/>
        <item x="6"/>
        <item x="5"/>
        <item x="19"/>
        <item x="18"/>
        <item x="17"/>
        <item x="14"/>
        <item x="21"/>
        <item x="9"/>
        <item x="13"/>
        <item x="0"/>
        <item x="20"/>
        <item x="8"/>
        <item t="default"/>
      </items>
    </pivotField>
    <pivotField axis="axisRow" showAll="0">
      <items count="23">
        <item x="2"/>
        <item x="16"/>
        <item x="4"/>
        <item x="19"/>
        <item x="21"/>
        <item x="3"/>
        <item x="6"/>
        <item x="20"/>
        <item x="15"/>
        <item x="1"/>
        <item x="11"/>
        <item x="17"/>
        <item x="12"/>
        <item x="18"/>
        <item x="5"/>
        <item x="8"/>
        <item x="10"/>
        <item x="0"/>
        <item x="13"/>
        <item x="14"/>
        <item x="7"/>
        <item x="9"/>
        <item t="default"/>
      </items>
    </pivotField>
    <pivotField showAll="0"/>
    <pivotField axis="axisRow" showAll="0">
      <items count="4">
        <item h="1" x="2"/>
        <item x="1"/>
        <item h="1" x="0"/>
        <item t="default"/>
      </items>
    </pivotField>
    <pivotField numFmtId="14" showAll="0"/>
    <pivotField showAll="0"/>
    <pivotField showAll="0"/>
    <pivotField showAll="0"/>
    <pivotField dataField="1" numFmtId="164" showAll="0"/>
    <pivotField numFmtId="14" showAll="0"/>
    <pivotField showAll="0"/>
  </pivotFields>
  <rowFields count="3">
    <field x="3"/>
    <field x="2"/>
    <field x="5"/>
  </rowFields>
  <rowItems count="19">
    <i>
      <x v="1"/>
    </i>
    <i r="1">
      <x/>
    </i>
    <i r="2">
      <x v="1"/>
    </i>
    <i>
      <x v="3"/>
    </i>
    <i r="1">
      <x v="12"/>
    </i>
    <i r="2">
      <x v="1"/>
    </i>
    <i>
      <x v="4"/>
    </i>
    <i r="1">
      <x v="16"/>
    </i>
    <i r="2">
      <x v="1"/>
    </i>
    <i>
      <x v="5"/>
    </i>
    <i r="1">
      <x v="4"/>
    </i>
    <i r="2">
      <x v="1"/>
    </i>
    <i>
      <x v="16"/>
    </i>
    <i r="1">
      <x v="1"/>
    </i>
    <i r="2">
      <x v="1"/>
    </i>
    <i>
      <x v="19"/>
    </i>
    <i r="1">
      <x v="15"/>
    </i>
    <i r="2">
      <x v="1"/>
    </i>
    <i t="grand">
      <x/>
    </i>
  </rowItems>
  <colItems count="1">
    <i/>
  </colItems>
  <dataFields count="1">
    <dataField name="Sum of Ticket Price 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12F33-D4B2-4C7D-98DB-19E9E04B6867}" name="PivotTable4" cacheId="81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N14:O18" firstHeaderRow="1" firstDataRow="1" firstDataCol="1"/>
  <pivotFields count="13"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numFmtId="14" showAll="0"/>
    <pivotField showAll="0"/>
    <pivotField showAll="0"/>
    <pivotField showAll="0"/>
    <pivotField dataField="1" numFmtId="164" showAll="0"/>
    <pivotField numFmtId="14"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icket Price " fld="10" baseField="0" baseItem="0"/>
  </dataFields>
  <formats count="9">
    <format dxfId="62">
      <pivotArea type="all" dataOnly="0" outline="0" fieldPosition="0"/>
    </format>
    <format dxfId="63">
      <pivotArea outline="0" collapsedLevelsAreSubtotals="1" fieldPosition="0"/>
    </format>
    <format dxfId="64">
      <pivotArea field="5" type="button" dataOnly="0" labelOnly="1" outline="0" axis="axisRow" fieldPosition="0"/>
    </format>
    <format dxfId="65">
      <pivotArea dataOnly="0" labelOnly="1" fieldPosition="0">
        <references count="1">
          <reference field="5" count="0"/>
        </references>
      </pivotArea>
    </format>
    <format dxfId="66">
      <pivotArea dataOnly="0" labelOnly="1" grandRow="1" outline="0" fieldPosition="0"/>
    </format>
    <format dxfId="67">
      <pivotArea dataOnly="0" labelOnly="1" outline="0" axis="axisValues" fieldPosition="0"/>
    </format>
    <format dxfId="68">
      <pivotArea dataOnly="0" labelOnly="1" fieldPosition="0">
        <references count="1">
          <reference field="5" count="1">
            <x v="0"/>
          </reference>
        </references>
      </pivotArea>
    </format>
    <format dxfId="69">
      <pivotArea dataOnly="0" labelOnly="1" fieldPosition="0">
        <references count="1">
          <reference field="5" count="1">
            <x v="1"/>
          </reference>
        </references>
      </pivotArea>
    </format>
    <format dxfId="70">
      <pivotArea dataOnly="0" labelOnly="1" fieldPosition="0">
        <references count="1">
          <reference field="5" count="1">
            <x v="2"/>
          </reference>
        </references>
      </pivotArea>
    </format>
  </formats>
  <chartFormats count="1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A4D6DA-0D42-43CB-838D-1358CCDEE6B4}" name="Football4" displayName="Football4" ref="G12:S41" totalsRowCount="1" dataDxfId="55">
  <autoFilter ref="G12:S40" xr:uid="{F3A4D6DA-0D42-43CB-838D-1358CCDEE6B4}"/>
  <tableColumns count="13">
    <tableColumn id="1" xr3:uid="{69CB1CA1-4035-48BE-8926-1546EA804D0A}" name="ID" dataDxfId="53" totalsRowDxfId="54"/>
    <tableColumn id="2" xr3:uid="{15BF85C2-D679-44CF-9659-7374EBA2CE80}" name="First Name " dataDxfId="51" totalsRowDxfId="52"/>
    <tableColumn id="3" xr3:uid="{504D4D51-C087-47D6-85C4-6F7218977ED3}" name="Surname" dataDxfId="49" totalsRowDxfId="50"/>
    <tableColumn id="4" xr3:uid="{6EEF4BD5-96F5-45CC-B369-3D079A4CDFCF}" name="Address" dataDxfId="47" totalsRowDxfId="48"/>
    <tableColumn id="5" xr3:uid="{AEE57AB2-2E84-412F-915D-88F83F364D93}" name="Contact Details " dataDxfId="45" totalsRowDxfId="46"/>
    <tableColumn id="6" xr3:uid="{7E620909-AF85-4356-92A6-834898B16177}" name="Ticket Type" dataDxfId="43" totalsRowDxfId="44"/>
    <tableColumn id="7" xr3:uid="{78383303-2E84-4700-BF26-81A7818DA42F}" name="Date of Application " dataDxfId="41" totalsRowDxfId="42"/>
    <tableColumn id="8" xr3:uid="{CF63B9B9-DB05-47C3-981C-7497BA49A044}" name="Requested Seating" dataDxfId="39" totalsRowDxfId="40"/>
    <tableColumn id="9" xr3:uid="{698B1281-8444-49F5-88F0-638B674B3F4E}" name="Allocated Seating" dataDxfId="37" totalsRowDxfId="38"/>
    <tableColumn id="10" xr3:uid="{6985AED6-1311-4C47-A0A4-4F0AE05963DF}" name="Application Success" dataDxfId="35" totalsRowDxfId="36">
      <calculatedColumnFormula>IF(N13=O13,"Successfull","Unsucessfull")</calculatedColumnFormula>
    </tableColumn>
    <tableColumn id="11" xr3:uid="{D032AE3D-C9E7-41FE-A3AD-CE4CB4D81E21}" name="Ticket Price " totalsRowFunction="custom" dataDxfId="33" totalsRowDxfId="34">
      <totalsRowFormula>SUM(price)</totalsRowFormula>
    </tableColumn>
    <tableColumn id="12" xr3:uid="{81412EF4-6F77-4CDB-8094-A456BD005798}" name="Ticket Expiry date " dataDxfId="31" totalsRowDxfId="32"/>
    <tableColumn id="13" xr3:uid="{B75DB329-83F7-4EA0-91E2-2705BFAA6257}" name="Unique Ticket Code " dataDxfId="29" totalsRowDxfId="30">
      <calculatedColumnFormula>CHAR(RANDBETWEEN(65, 90)) &amp; CHAR(RANDBETWEEN(65, 90)) &amp; RANDBETWEEN(10000000, 99999999) &amp; CHAR(RANDBETWEEN(65, 90)) &amp; CHAR(RANDBETWEEN(65, 90))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A28556-CB03-4342-ADAB-9E5B2AB56775}" name="Table5" displayName="Table5" ref="U36:V39" totalsRowShown="0" headerRowDxfId="28" dataDxfId="27">
  <autoFilter ref="U36:V39" xr:uid="{36A28556-CB03-4342-ADAB-9E5B2AB56775}"/>
  <tableColumns count="2">
    <tableColumn id="1" xr3:uid="{4DE794B4-637A-4496-ADE4-84FC42E45A67}" name="Ticket type" dataDxfId="26"/>
    <tableColumn id="2" xr3:uid="{0F1B1C10-F2A0-4EAB-B0FA-51219915E0D2}" name="Ticket price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ootball_season" displayName="Football_season" ref="F13:S39" totalsRowShown="0" headerRowDxfId="15" dataDxfId="14">
  <autoFilter ref="F13:S39" xr:uid="{00000000-0009-0000-0100-000002000000}"/>
  <tableColumns count="14">
    <tableColumn id="1" xr3:uid="{00000000-0010-0000-0100-000001000000}" name="ID" dataDxfId="13"/>
    <tableColumn id="2" xr3:uid="{00000000-0010-0000-0100-000002000000}" name="First Name " dataDxfId="12"/>
    <tableColumn id="3" xr3:uid="{00000000-0010-0000-0100-000003000000}" name="Surname" dataDxfId="11"/>
    <tableColumn id="4" xr3:uid="{00000000-0010-0000-0100-000004000000}" name="Address" dataDxfId="10"/>
    <tableColumn id="5" xr3:uid="{00000000-0010-0000-0100-000005000000}" name="Contact Details " dataDxfId="9"/>
    <tableColumn id="6" xr3:uid="{00000000-0010-0000-0100-000006000000}" name="Ticket Type" dataDxfId="8"/>
    <tableColumn id="7" xr3:uid="{00000000-0010-0000-0100-000007000000}" name="Date of Application " dataDxfId="7"/>
    <tableColumn id="8" xr3:uid="{00000000-0010-0000-0100-000008000000}" name="Requested Seating Area" dataDxfId="6"/>
    <tableColumn id="9" xr3:uid="{00000000-0010-0000-0100-000009000000}" name="Allocated Seating Area" dataDxfId="5"/>
    <tableColumn id="11" xr3:uid="{00000000-0010-0000-0100-00000B000000}" name="Restrictions?" dataDxfId="4">
      <calculatedColumnFormula>IF(Season_Ticket_Holder_Details_!$K14="Child","Child must have adult ","No restriction")</calculatedColumnFormula>
    </tableColumn>
    <tableColumn id="12" xr3:uid="{00000000-0010-0000-0100-00000C000000}" name="Outcome ?" dataDxfId="3">
      <calculatedColumnFormula>IF(M14=N14,"Successfull","Unsucessfull")</calculatedColumnFormula>
    </tableColumn>
    <tableColumn id="13" xr3:uid="{00000000-0010-0000-0100-00000D000000}" name="Ticket Price " dataDxfId="2"/>
    <tableColumn id="14" xr3:uid="{00000000-0010-0000-0100-00000E000000}" name="Ticket Expiry date " dataDxfId="1"/>
    <tableColumn id="15" xr3:uid="{00000000-0010-0000-0100-00000F000000}" name="Unique Ticket Code " dataDxfId="0">
      <calculatedColumnFormula>CHAR(RANDBETWEEN(65, 90)) &amp; CHAR(RANDBETWEEN(65, 90)) &amp; RANDBETWEEN(10000000, 99999999) &amp; CHAR(RANDBETWEEN(65, 90)) &amp; CHAR(RANDBETWEEN(65, 90))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table" Target="../tables/table2.xml"/><Relationship Id="rId2" Type="http://schemas.openxmlformats.org/officeDocument/2006/relationships/hyperlink" Target="https://www.mancity.com/" TargetMode="External"/><Relationship Id="rId1" Type="http://schemas.openxmlformats.org/officeDocument/2006/relationships/hyperlink" Target="https://www.mancity.com/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K4:Y6"/>
  <sheetViews>
    <sheetView tabSelected="1" zoomScale="85" zoomScaleNormal="85" workbookViewId="0"/>
  </sheetViews>
  <sheetFormatPr defaultColWidth="8.7109375" defaultRowHeight="15"/>
  <cols>
    <col min="1" max="1" width="8.7109375" style="31" customWidth="1"/>
    <col min="2" max="16384" width="8.7109375" style="31"/>
  </cols>
  <sheetData>
    <row r="4" spans="11:25">
      <c r="K4" s="52" t="s">
        <v>0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</row>
    <row r="5" spans="11:25"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</row>
    <row r="6" spans="11:25"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</row>
  </sheetData>
  <mergeCells count="1">
    <mergeCell ref="K4:Y6"/>
  </mergeCells>
  <pageMargins left="0.70000000000000007" right="0.70000000000000007" top="0.75" bottom="0.75" header="0.30000000000000004" footer="0.30000000000000004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DE228-EADA-4395-94D1-1A6F041BDFA9}">
  <sheetPr codeName="Sheet2">
    <tabColor theme="5"/>
  </sheetPr>
  <dimension ref="G2:Z41"/>
  <sheetViews>
    <sheetView topLeftCell="D1" zoomScale="56" workbookViewId="0">
      <selection activeCell="M50" sqref="M50"/>
    </sheetView>
  </sheetViews>
  <sheetFormatPr defaultRowHeight="15"/>
  <cols>
    <col min="3" max="3" width="8.7109375" bestFit="1" customWidth="1"/>
    <col min="4" max="4" width="19.7109375" customWidth="1"/>
    <col min="5" max="5" width="16.42578125" customWidth="1"/>
    <col min="6" max="6" width="15.140625" customWidth="1"/>
    <col min="7" max="7" width="18" customWidth="1"/>
    <col min="8" max="8" width="21.7109375" customWidth="1"/>
    <col min="9" max="9" width="17" customWidth="1"/>
    <col min="10" max="10" width="57.7109375" customWidth="1"/>
    <col min="11" max="11" width="28.28515625" customWidth="1"/>
    <col min="12" max="12" width="30.28515625" customWidth="1"/>
    <col min="13" max="13" width="38.5703125" customWidth="1"/>
    <col min="14" max="14" width="32.28515625" customWidth="1"/>
    <col min="15" max="15" width="27" customWidth="1"/>
    <col min="16" max="16" width="28.28515625" customWidth="1"/>
    <col min="17" max="17" width="20.28515625" customWidth="1"/>
    <col min="18" max="18" width="30.7109375" customWidth="1"/>
    <col min="19" max="19" width="29.7109375" customWidth="1"/>
    <col min="21" max="21" width="12.7109375" customWidth="1"/>
    <col min="22" max="22" width="17.7109375" customWidth="1"/>
  </cols>
  <sheetData>
    <row r="2" spans="7:19" ht="19.5">
      <c r="P2" s="5"/>
    </row>
    <row r="4" spans="7:19">
      <c r="H4" s="54" t="s">
        <v>1</v>
      </c>
      <c r="I4" s="54"/>
      <c r="J4" s="54"/>
      <c r="K4" s="54"/>
      <c r="L4" s="54"/>
      <c r="M4" s="54"/>
      <c r="N4" s="54"/>
      <c r="O4" s="54"/>
      <c r="P4" s="54"/>
      <c r="Q4" s="54"/>
      <c r="R4" s="54"/>
    </row>
    <row r="5" spans="7:19"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</row>
    <row r="6" spans="7:19"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</row>
    <row r="7" spans="7:19"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</row>
    <row r="9" spans="7:19" ht="32.25">
      <c r="L9" s="27"/>
      <c r="M9" s="27"/>
      <c r="N9" s="27"/>
    </row>
    <row r="10" spans="7:19" ht="32.25">
      <c r="L10" s="27"/>
      <c r="M10" s="28" t="s">
        <v>2</v>
      </c>
      <c r="N10" s="28"/>
    </row>
    <row r="11" spans="7:19" ht="22.5">
      <c r="L11" s="26"/>
      <c r="M11" s="26"/>
      <c r="N11" s="26"/>
    </row>
    <row r="12" spans="7:19" ht="19.5">
      <c r="G12" s="1" t="s">
        <v>3</v>
      </c>
      <c r="H12" s="2" t="s">
        <v>4</v>
      </c>
      <c r="I12" s="2" t="s">
        <v>5</v>
      </c>
      <c r="J12" s="2" t="s">
        <v>6</v>
      </c>
      <c r="K12" s="2" t="s">
        <v>7</v>
      </c>
      <c r="L12" s="2" t="s">
        <v>8</v>
      </c>
      <c r="M12" s="2" t="s">
        <v>9</v>
      </c>
      <c r="N12" s="3" t="s">
        <v>10</v>
      </c>
      <c r="O12" s="3" t="s">
        <v>11</v>
      </c>
      <c r="P12" s="3" t="s">
        <v>12</v>
      </c>
      <c r="Q12" s="3" t="s">
        <v>13</v>
      </c>
      <c r="R12" s="3" t="s">
        <v>14</v>
      </c>
      <c r="S12" s="4" t="s">
        <v>15</v>
      </c>
    </row>
    <row r="13" spans="7:19" ht="22.5">
      <c r="G13" s="15">
        <v>1</v>
      </c>
      <c r="H13" s="16" t="s">
        <v>16</v>
      </c>
      <c r="I13" s="16" t="s">
        <v>17</v>
      </c>
      <c r="J13" s="17" t="s">
        <v>18</v>
      </c>
      <c r="K13" s="18" t="s">
        <v>19</v>
      </c>
      <c r="L13" s="19" t="s">
        <v>20</v>
      </c>
      <c r="M13" s="20">
        <v>45028</v>
      </c>
      <c r="N13" s="21" t="s">
        <v>21</v>
      </c>
      <c r="O13" s="21" t="s">
        <v>22</v>
      </c>
      <c r="P13" s="22" t="str">
        <f t="shared" ref="P13:P38" si="0">IF(N13=O13,"Successfull","Unsucessfull")</f>
        <v>Unsucessfull</v>
      </c>
      <c r="Q13" s="23">
        <v>54.72</v>
      </c>
      <c r="R13" s="20">
        <v>45224</v>
      </c>
      <c r="S13" s="24" t="str">
        <f ca="1">CHAR(RANDBETWEEN(65, 90)) &amp; CHAR(RANDBETWEEN(65, 90)) &amp; RANDBETWEEN(10000000, 99999999) &amp; CHAR(RANDBETWEEN(65, 90)) &amp; CHAR(RANDBETWEEN(65, 90))</f>
        <v>XM19061361AI</v>
      </c>
    </row>
    <row r="14" spans="7:19" ht="22.5">
      <c r="G14" s="15">
        <v>2</v>
      </c>
      <c r="H14" s="16" t="s">
        <v>23</v>
      </c>
      <c r="I14" s="16" t="s">
        <v>24</v>
      </c>
      <c r="J14" s="17" t="s">
        <v>25</v>
      </c>
      <c r="K14" s="18" t="s">
        <v>26</v>
      </c>
      <c r="L14" s="19" t="s">
        <v>20</v>
      </c>
      <c r="M14" s="20">
        <v>44951</v>
      </c>
      <c r="N14" s="21" t="s">
        <v>27</v>
      </c>
      <c r="O14" s="21" t="s">
        <v>27</v>
      </c>
      <c r="P14" s="22" t="str">
        <f t="shared" si="0"/>
        <v>Successfull</v>
      </c>
      <c r="Q14" s="23">
        <v>110.56</v>
      </c>
      <c r="R14" s="20">
        <v>45225</v>
      </c>
      <c r="S14" s="24" t="str">
        <f t="shared" ref="S14:S38" ca="1" si="1">CHAR(RANDBETWEEN(65, 90)) &amp; CHAR(RANDBETWEEN(65, 90)) &amp; RANDBETWEEN(10000000, 99999999) &amp; CHAR(RANDBETWEEN(65, 90)) &amp; CHAR(RANDBETWEEN(65, 90))</f>
        <v>ZY31805953IE</v>
      </c>
    </row>
    <row r="15" spans="7:19" ht="22.5">
      <c r="G15" s="15">
        <v>3</v>
      </c>
      <c r="H15" s="16" t="s">
        <v>28</v>
      </c>
      <c r="I15" s="16" t="s">
        <v>29</v>
      </c>
      <c r="J15" s="17" t="s">
        <v>30</v>
      </c>
      <c r="K15" s="18" t="s">
        <v>31</v>
      </c>
      <c r="L15" s="19" t="s">
        <v>20</v>
      </c>
      <c r="M15" s="20">
        <v>44970</v>
      </c>
      <c r="N15" s="21" t="s">
        <v>32</v>
      </c>
      <c r="O15" s="21" t="s">
        <v>32</v>
      </c>
      <c r="P15" s="22" t="str">
        <f t="shared" si="0"/>
        <v>Successfull</v>
      </c>
      <c r="Q15" s="23">
        <f>VLOOKUP(U36,U36:V39, 2,TRUE)</f>
        <v>100</v>
      </c>
      <c r="R15" s="20">
        <v>45226</v>
      </c>
      <c r="S15" s="24" t="str">
        <f t="shared" ca="1" si="1"/>
        <v>PC82044173FC</v>
      </c>
    </row>
    <row r="16" spans="7:19" ht="22.5">
      <c r="G16" s="15">
        <v>4</v>
      </c>
      <c r="H16" s="16" t="s">
        <v>33</v>
      </c>
      <c r="I16" s="16" t="s">
        <v>34</v>
      </c>
      <c r="J16" s="17" t="s">
        <v>35</v>
      </c>
      <c r="K16" s="18" t="s">
        <v>36</v>
      </c>
      <c r="L16" s="19" t="s">
        <v>37</v>
      </c>
      <c r="M16" s="20">
        <v>44957</v>
      </c>
      <c r="N16" s="21" t="s">
        <v>38</v>
      </c>
      <c r="O16" s="21" t="s">
        <v>38</v>
      </c>
      <c r="P16" s="22" t="str">
        <f t="shared" si="0"/>
        <v>Successfull</v>
      </c>
      <c r="Q16" s="23">
        <v>110.1</v>
      </c>
      <c r="R16" s="20">
        <v>45227</v>
      </c>
      <c r="S16" s="24" t="str">
        <f t="shared" ca="1" si="1"/>
        <v>QJ62396798BI</v>
      </c>
    </row>
    <row r="17" spans="7:25" ht="22.5">
      <c r="G17" s="15">
        <v>5</v>
      </c>
      <c r="H17" s="16" t="s">
        <v>39</v>
      </c>
      <c r="I17" s="16" t="s">
        <v>40</v>
      </c>
      <c r="J17" s="17" t="s">
        <v>41</v>
      </c>
      <c r="K17" s="18" t="s">
        <v>42</v>
      </c>
      <c r="L17" s="19" t="s">
        <v>43</v>
      </c>
      <c r="M17" s="20">
        <v>44999</v>
      </c>
      <c r="N17" s="21" t="s">
        <v>44</v>
      </c>
      <c r="O17" s="21" t="s">
        <v>45</v>
      </c>
      <c r="P17" s="22" t="str">
        <f t="shared" si="0"/>
        <v>Unsucessfull</v>
      </c>
      <c r="Q17" s="23">
        <v>82.95</v>
      </c>
      <c r="R17" s="20">
        <v>45228</v>
      </c>
      <c r="S17" s="24" t="str">
        <f t="shared" ca="1" si="1"/>
        <v>KN15394338CA</v>
      </c>
    </row>
    <row r="18" spans="7:25" ht="22.5">
      <c r="G18" s="15">
        <v>6</v>
      </c>
      <c r="H18" s="16" t="s">
        <v>46</v>
      </c>
      <c r="I18" s="16" t="s">
        <v>47</v>
      </c>
      <c r="J18" s="17" t="s">
        <v>48</v>
      </c>
      <c r="K18" s="18" t="s">
        <v>49</v>
      </c>
      <c r="L18" s="19" t="s">
        <v>43</v>
      </c>
      <c r="M18" s="20">
        <v>44980</v>
      </c>
      <c r="N18" s="21" t="s">
        <v>50</v>
      </c>
      <c r="O18" s="21" t="s">
        <v>50</v>
      </c>
      <c r="P18" s="22" t="str">
        <f t="shared" si="0"/>
        <v>Successfull</v>
      </c>
      <c r="Q18" s="23">
        <v>187.95</v>
      </c>
      <c r="R18" s="20">
        <v>45229</v>
      </c>
      <c r="S18" s="24" t="str">
        <f t="shared" ca="1" si="1"/>
        <v>LR13148748HD</v>
      </c>
    </row>
    <row r="19" spans="7:25" ht="22.5">
      <c r="G19" s="15">
        <v>7</v>
      </c>
      <c r="H19" s="16" t="s">
        <v>51</v>
      </c>
      <c r="I19" s="16" t="s">
        <v>52</v>
      </c>
      <c r="J19" s="17" t="s">
        <v>53</v>
      </c>
      <c r="K19" s="18" t="s">
        <v>54</v>
      </c>
      <c r="L19" s="19" t="s">
        <v>20</v>
      </c>
      <c r="M19" s="20">
        <v>44910</v>
      </c>
      <c r="N19" s="21" t="s">
        <v>55</v>
      </c>
      <c r="O19" s="21" t="s">
        <v>56</v>
      </c>
      <c r="P19" s="22" t="str">
        <f t="shared" si="0"/>
        <v>Unsucessfull</v>
      </c>
      <c r="Q19" s="23">
        <v>99.5</v>
      </c>
      <c r="R19" s="20">
        <v>45230</v>
      </c>
      <c r="S19" s="24" t="str">
        <f t="shared" ca="1" si="1"/>
        <v>ZC31299936UW</v>
      </c>
    </row>
    <row r="20" spans="7:25" ht="22.5">
      <c r="G20" s="15">
        <v>8</v>
      </c>
      <c r="H20" s="16" t="s">
        <v>57</v>
      </c>
      <c r="I20" s="16" t="s">
        <v>58</v>
      </c>
      <c r="J20" s="17" t="s">
        <v>59</v>
      </c>
      <c r="K20" s="18" t="s">
        <v>60</v>
      </c>
      <c r="L20" s="19" t="s">
        <v>43</v>
      </c>
      <c r="M20" s="20">
        <v>44945</v>
      </c>
      <c r="N20" s="21" t="s">
        <v>61</v>
      </c>
      <c r="O20" s="21" t="s">
        <v>61</v>
      </c>
      <c r="P20" s="22" t="str">
        <f t="shared" si="0"/>
        <v>Successfull</v>
      </c>
      <c r="Q20" s="23">
        <v>99.5</v>
      </c>
      <c r="R20" s="20">
        <v>45231</v>
      </c>
      <c r="S20" s="24" t="str">
        <f t="shared" ca="1" si="1"/>
        <v>SF72695005NJ</v>
      </c>
    </row>
    <row r="21" spans="7:25" ht="22.5">
      <c r="G21" s="15">
        <v>9</v>
      </c>
      <c r="H21" s="16" t="s">
        <v>62</v>
      </c>
      <c r="I21" s="16" t="s">
        <v>63</v>
      </c>
      <c r="J21" s="17" t="s">
        <v>64</v>
      </c>
      <c r="K21" s="18" t="s">
        <v>65</v>
      </c>
      <c r="L21" s="19" t="s">
        <v>20</v>
      </c>
      <c r="M21" s="20">
        <v>45002</v>
      </c>
      <c r="N21" s="21" t="s">
        <v>66</v>
      </c>
      <c r="O21" s="21" t="s">
        <v>66</v>
      </c>
      <c r="P21" s="22" t="str">
        <f t="shared" si="0"/>
        <v>Successfull</v>
      </c>
      <c r="Q21" s="23">
        <v>165.84</v>
      </c>
      <c r="R21" s="20">
        <v>45232</v>
      </c>
      <c r="S21" s="24" t="str">
        <f t="shared" ca="1" si="1"/>
        <v>DQ29793770IT</v>
      </c>
    </row>
    <row r="22" spans="7:25" ht="22.5">
      <c r="G22" s="15">
        <v>10</v>
      </c>
      <c r="H22" s="16" t="s">
        <v>67</v>
      </c>
      <c r="I22" s="16" t="s">
        <v>68</v>
      </c>
      <c r="J22" s="17" t="s">
        <v>69</v>
      </c>
      <c r="K22" s="18" t="s">
        <v>70</v>
      </c>
      <c r="L22" s="19" t="s">
        <v>43</v>
      </c>
      <c r="M22" s="20">
        <v>44940</v>
      </c>
      <c r="N22" s="21" t="s">
        <v>21</v>
      </c>
      <c r="O22" s="21" t="s">
        <v>71</v>
      </c>
      <c r="P22" s="22" t="str">
        <f t="shared" si="0"/>
        <v>Unsucessfull</v>
      </c>
      <c r="Q22" s="23">
        <v>92.87</v>
      </c>
      <c r="R22" s="20">
        <v>45233</v>
      </c>
      <c r="S22" s="24" t="str">
        <f t="shared" ca="1" si="1"/>
        <v>DE97812628IJ</v>
      </c>
    </row>
    <row r="23" spans="7:25" ht="22.5">
      <c r="G23" s="15">
        <v>11</v>
      </c>
      <c r="H23" s="16" t="s">
        <v>72</v>
      </c>
      <c r="I23" s="16" t="s">
        <v>73</v>
      </c>
      <c r="J23" s="17" t="s">
        <v>74</v>
      </c>
      <c r="K23" s="18" t="s">
        <v>75</v>
      </c>
      <c r="L23" s="19" t="s">
        <v>37</v>
      </c>
      <c r="M23" s="20">
        <v>44959</v>
      </c>
      <c r="N23" s="21" t="s">
        <v>76</v>
      </c>
      <c r="O23" s="21" t="s">
        <v>76</v>
      </c>
      <c r="P23" s="22" t="str">
        <f t="shared" si="0"/>
        <v>Successfull</v>
      </c>
      <c r="Q23" s="23">
        <v>110.56</v>
      </c>
      <c r="R23" s="20">
        <v>45234</v>
      </c>
      <c r="S23" s="24" t="str">
        <f t="shared" ca="1" si="1"/>
        <v>WO71853116PC</v>
      </c>
    </row>
    <row r="24" spans="7:25" ht="22.5">
      <c r="G24" s="15">
        <v>12</v>
      </c>
      <c r="H24" s="16" t="s">
        <v>77</v>
      </c>
      <c r="I24" s="16" t="s">
        <v>78</v>
      </c>
      <c r="J24" s="17" t="s">
        <v>79</v>
      </c>
      <c r="K24" s="18" t="s">
        <v>80</v>
      </c>
      <c r="L24" s="19" t="s">
        <v>20</v>
      </c>
      <c r="M24" s="20">
        <v>44923</v>
      </c>
      <c r="N24" s="21" t="s">
        <v>66</v>
      </c>
      <c r="O24" s="21" t="s">
        <v>81</v>
      </c>
      <c r="P24" s="22" t="str">
        <f t="shared" si="0"/>
        <v>Unsucessfull</v>
      </c>
      <c r="Q24" s="23">
        <v>160.31</v>
      </c>
      <c r="R24" s="20">
        <v>45235</v>
      </c>
      <c r="S24" s="24" t="str">
        <f t="shared" ca="1" si="1"/>
        <v>IB58967972TX</v>
      </c>
    </row>
    <row r="25" spans="7:25" ht="22.5">
      <c r="G25" s="15">
        <v>13</v>
      </c>
      <c r="H25" s="16" t="s">
        <v>82</v>
      </c>
      <c r="I25" s="16" t="s">
        <v>83</v>
      </c>
      <c r="J25" s="17" t="s">
        <v>84</v>
      </c>
      <c r="K25" s="18" t="s">
        <v>85</v>
      </c>
      <c r="L25" s="19" t="s">
        <v>43</v>
      </c>
      <c r="M25" s="20">
        <v>44955</v>
      </c>
      <c r="N25" s="21" t="s">
        <v>86</v>
      </c>
      <c r="O25" s="21" t="s">
        <v>87</v>
      </c>
      <c r="P25" s="22" t="str">
        <f t="shared" si="0"/>
        <v>Unsucessfull</v>
      </c>
      <c r="Q25" s="23">
        <v>99.5</v>
      </c>
      <c r="R25" s="20">
        <v>45236</v>
      </c>
      <c r="S25" s="24" t="str">
        <f t="shared" ca="1" si="1"/>
        <v>VL53852948HC</v>
      </c>
    </row>
    <row r="26" spans="7:25" ht="22.5">
      <c r="G26" s="15">
        <v>14</v>
      </c>
      <c r="H26" s="16" t="s">
        <v>88</v>
      </c>
      <c r="I26" s="16" t="s">
        <v>89</v>
      </c>
      <c r="J26" s="17" t="s">
        <v>90</v>
      </c>
      <c r="K26" s="18" t="s">
        <v>91</v>
      </c>
      <c r="L26" s="19" t="s">
        <v>43</v>
      </c>
      <c r="M26" s="20">
        <v>44971</v>
      </c>
      <c r="N26" s="21" t="s">
        <v>92</v>
      </c>
      <c r="O26" s="21" t="s">
        <v>92</v>
      </c>
      <c r="P26" s="22" t="str">
        <f t="shared" si="0"/>
        <v>Successfull</v>
      </c>
      <c r="Q26" s="23">
        <v>165.84</v>
      </c>
      <c r="R26" s="20">
        <v>45237</v>
      </c>
      <c r="S26" s="24" t="str">
        <f t="shared" ca="1" si="1"/>
        <v>VA51255865LQ</v>
      </c>
    </row>
    <row r="27" spans="7:25" ht="22.5">
      <c r="G27" s="15">
        <v>15</v>
      </c>
      <c r="H27" s="16" t="s">
        <v>93</v>
      </c>
      <c r="I27" s="16" t="s">
        <v>94</v>
      </c>
      <c r="J27" s="17" t="s">
        <v>95</v>
      </c>
      <c r="K27" s="18" t="s">
        <v>96</v>
      </c>
      <c r="L27" s="19" t="s">
        <v>43</v>
      </c>
      <c r="M27" s="20">
        <v>44945</v>
      </c>
      <c r="N27" s="21" t="s">
        <v>97</v>
      </c>
      <c r="O27" s="21" t="s">
        <v>98</v>
      </c>
      <c r="P27" s="22" t="str">
        <f t="shared" si="0"/>
        <v>Unsucessfull</v>
      </c>
      <c r="Q27" s="23">
        <v>59.7</v>
      </c>
      <c r="R27" s="20">
        <v>45238</v>
      </c>
      <c r="S27" s="24" t="str">
        <f t="shared" ca="1" si="1"/>
        <v>YX17956665QA</v>
      </c>
    </row>
    <row r="28" spans="7:25" ht="22.5">
      <c r="G28" s="15">
        <v>16</v>
      </c>
      <c r="H28" s="16" t="s">
        <v>99</v>
      </c>
      <c r="I28" s="16" t="s">
        <v>94</v>
      </c>
      <c r="J28" s="17" t="s">
        <v>95</v>
      </c>
      <c r="K28" s="18" t="s">
        <v>96</v>
      </c>
      <c r="L28" s="19" t="s">
        <v>37</v>
      </c>
      <c r="M28" s="20">
        <v>44945</v>
      </c>
      <c r="N28" s="21" t="s">
        <v>97</v>
      </c>
      <c r="O28" s="21" t="s">
        <v>98</v>
      </c>
      <c r="P28" s="22" t="str">
        <f t="shared" si="0"/>
        <v>Unsucessfull</v>
      </c>
      <c r="Q28" s="23">
        <v>59.7</v>
      </c>
      <c r="R28" s="20">
        <v>45239</v>
      </c>
      <c r="S28" s="24" t="str">
        <f t="shared" ca="1" si="1"/>
        <v>EI29418591GU</v>
      </c>
    </row>
    <row r="29" spans="7:25" ht="22.5">
      <c r="G29" s="15">
        <v>17</v>
      </c>
      <c r="H29" s="16" t="s">
        <v>100</v>
      </c>
      <c r="I29" s="16" t="s">
        <v>101</v>
      </c>
      <c r="J29" s="17" t="s">
        <v>102</v>
      </c>
      <c r="K29" s="18" t="s">
        <v>103</v>
      </c>
      <c r="L29" s="19" t="s">
        <v>43</v>
      </c>
      <c r="M29" s="20">
        <v>44927</v>
      </c>
      <c r="N29" s="21" t="s">
        <v>66</v>
      </c>
      <c r="O29" s="21" t="s">
        <v>104</v>
      </c>
      <c r="P29" s="22" t="str">
        <f t="shared" si="0"/>
        <v>Unsucessfull</v>
      </c>
      <c r="Q29" s="23">
        <v>55.28</v>
      </c>
      <c r="R29" s="20">
        <v>45240</v>
      </c>
      <c r="S29" s="24" t="str">
        <f t="shared" ca="1" si="1"/>
        <v>RZ42521216WW</v>
      </c>
    </row>
    <row r="30" spans="7:25" ht="22.5">
      <c r="G30" s="15">
        <v>18</v>
      </c>
      <c r="H30" s="16" t="s">
        <v>105</v>
      </c>
      <c r="I30" s="16" t="s">
        <v>106</v>
      </c>
      <c r="J30" s="17" t="s">
        <v>107</v>
      </c>
      <c r="K30" s="18" t="s">
        <v>108</v>
      </c>
      <c r="L30" s="19" t="s">
        <v>43</v>
      </c>
      <c r="M30" s="20">
        <v>44969</v>
      </c>
      <c r="N30" s="21" t="s">
        <v>109</v>
      </c>
      <c r="O30" s="21" t="s">
        <v>110</v>
      </c>
      <c r="P30" s="22" t="str">
        <f t="shared" si="0"/>
        <v>Unsucessfull</v>
      </c>
      <c r="Q30" s="23">
        <v>66.34</v>
      </c>
      <c r="R30" s="20">
        <v>45241</v>
      </c>
      <c r="S30" s="24" t="str">
        <f t="shared" ca="1" si="1"/>
        <v>OM22707925XO</v>
      </c>
    </row>
    <row r="31" spans="7:25" ht="22.5">
      <c r="G31" s="15">
        <v>19</v>
      </c>
      <c r="H31" s="16" t="s">
        <v>111</v>
      </c>
      <c r="I31" s="16" t="s">
        <v>106</v>
      </c>
      <c r="J31" s="17" t="s">
        <v>107</v>
      </c>
      <c r="K31" s="18" t="s">
        <v>108</v>
      </c>
      <c r="L31" s="19" t="s">
        <v>37</v>
      </c>
      <c r="M31" s="20">
        <v>44969</v>
      </c>
      <c r="N31" s="21" t="s">
        <v>109</v>
      </c>
      <c r="O31" s="21" t="s">
        <v>110</v>
      </c>
      <c r="P31" s="22" t="str">
        <f t="shared" si="0"/>
        <v>Unsucessfull</v>
      </c>
      <c r="Q31" s="23">
        <v>66.34</v>
      </c>
      <c r="R31" s="20">
        <v>45242</v>
      </c>
      <c r="S31" s="24" t="str">
        <f t="shared" ca="1" si="1"/>
        <v>ZA89719926JP</v>
      </c>
    </row>
    <row r="32" spans="7:25" ht="22.5">
      <c r="G32" s="15">
        <v>20</v>
      </c>
      <c r="H32" s="16" t="s">
        <v>112</v>
      </c>
      <c r="I32" s="16" t="s">
        <v>113</v>
      </c>
      <c r="J32" s="17" t="s">
        <v>114</v>
      </c>
      <c r="K32" s="18" t="s">
        <v>115</v>
      </c>
      <c r="L32" s="19" t="s">
        <v>20</v>
      </c>
      <c r="M32" s="20">
        <v>44984</v>
      </c>
      <c r="N32" s="21" t="s">
        <v>116</v>
      </c>
      <c r="O32" s="21" t="s">
        <v>117</v>
      </c>
      <c r="P32" s="22" t="str">
        <f t="shared" si="0"/>
        <v>Unsucessfull</v>
      </c>
      <c r="Q32" s="23">
        <v>42.01</v>
      </c>
      <c r="R32" s="20">
        <v>45243</v>
      </c>
      <c r="S32" s="24" t="str">
        <f t="shared" ca="1" si="1"/>
        <v>OX68863195LG</v>
      </c>
    </row>
    <row r="33" spans="7:26" ht="22.5">
      <c r="G33" s="15">
        <v>21</v>
      </c>
      <c r="H33" s="16" t="s">
        <v>118</v>
      </c>
      <c r="I33" s="16" t="s">
        <v>119</v>
      </c>
      <c r="J33" s="17" t="s">
        <v>120</v>
      </c>
      <c r="K33" s="18" t="s">
        <v>121</v>
      </c>
      <c r="L33" s="19" t="s">
        <v>43</v>
      </c>
      <c r="M33" s="20">
        <v>44928</v>
      </c>
      <c r="N33" s="21" t="s">
        <v>86</v>
      </c>
      <c r="O33" s="21" t="s">
        <v>66</v>
      </c>
      <c r="P33" s="22" t="str">
        <f t="shared" si="0"/>
        <v>Unsucessfull</v>
      </c>
      <c r="Q33" s="23">
        <v>102.82</v>
      </c>
      <c r="R33" s="20">
        <v>45244</v>
      </c>
      <c r="S33" s="24" t="str">
        <f t="shared" ca="1" si="1"/>
        <v>ZT82316767NP</v>
      </c>
    </row>
    <row r="34" spans="7:26" ht="22.5">
      <c r="G34" s="15">
        <v>22</v>
      </c>
      <c r="H34" s="16" t="s">
        <v>122</v>
      </c>
      <c r="I34" s="16" t="s">
        <v>123</v>
      </c>
      <c r="J34" s="17" t="s">
        <v>124</v>
      </c>
      <c r="K34" s="18" t="s">
        <v>125</v>
      </c>
      <c r="L34" s="19" t="s">
        <v>37</v>
      </c>
      <c r="M34" s="20">
        <v>44999</v>
      </c>
      <c r="N34" s="21" t="s">
        <v>126</v>
      </c>
      <c r="O34" s="21" t="s">
        <v>126</v>
      </c>
      <c r="P34" s="22" t="str">
        <f t="shared" si="0"/>
        <v>Successfull</v>
      </c>
      <c r="Q34" s="23">
        <v>131</v>
      </c>
      <c r="R34" s="20">
        <v>45245</v>
      </c>
      <c r="S34" s="24" t="str">
        <f t="shared" ca="1" si="1"/>
        <v>AH89462787RI</v>
      </c>
    </row>
    <row r="35" spans="7:26" ht="22.5">
      <c r="G35" s="15">
        <v>23</v>
      </c>
      <c r="H35" s="16" t="s">
        <v>127</v>
      </c>
      <c r="I35" s="16" t="s">
        <v>123</v>
      </c>
      <c r="J35" s="17" t="s">
        <v>124</v>
      </c>
      <c r="K35" s="18" t="s">
        <v>125</v>
      </c>
      <c r="L35" s="19" t="s">
        <v>43</v>
      </c>
      <c r="M35" s="20">
        <v>44999</v>
      </c>
      <c r="N35" s="21" t="s">
        <v>126</v>
      </c>
      <c r="O35" s="21" t="s">
        <v>126</v>
      </c>
      <c r="P35" s="22" t="str">
        <f t="shared" si="0"/>
        <v>Successfull</v>
      </c>
      <c r="Q35" s="23">
        <v>131</v>
      </c>
      <c r="R35" s="20">
        <v>45246</v>
      </c>
      <c r="S35" s="24" t="str">
        <f t="shared" ca="1" si="1"/>
        <v>YN10618590GC</v>
      </c>
    </row>
    <row r="36" spans="7:26" ht="22.5">
      <c r="G36" s="15">
        <v>24</v>
      </c>
      <c r="H36" s="16" t="s">
        <v>128</v>
      </c>
      <c r="I36" s="16" t="s">
        <v>123</v>
      </c>
      <c r="J36" s="17" t="s">
        <v>124</v>
      </c>
      <c r="K36" s="18" t="s">
        <v>125</v>
      </c>
      <c r="L36" s="19" t="s">
        <v>20</v>
      </c>
      <c r="M36" s="20">
        <v>44999</v>
      </c>
      <c r="N36" s="21" t="s">
        <v>126</v>
      </c>
      <c r="O36" s="21" t="s">
        <v>126</v>
      </c>
      <c r="P36" s="22" t="str">
        <f t="shared" si="0"/>
        <v>Successfull</v>
      </c>
      <c r="Q36" s="23">
        <v>131</v>
      </c>
      <c r="R36" s="20">
        <v>45247</v>
      </c>
      <c r="S36" s="24" t="str">
        <f t="shared" ca="1" si="1"/>
        <v>VG10223860PI</v>
      </c>
      <c r="U36" s="6" t="s">
        <v>129</v>
      </c>
      <c r="V36" s="6" t="s">
        <v>130</v>
      </c>
    </row>
    <row r="37" spans="7:26" ht="22.5">
      <c r="G37" s="15">
        <v>25</v>
      </c>
      <c r="H37" s="16" t="s">
        <v>131</v>
      </c>
      <c r="I37" s="16" t="s">
        <v>132</v>
      </c>
      <c r="J37" s="17" t="s">
        <v>133</v>
      </c>
      <c r="K37" s="18" t="s">
        <v>134</v>
      </c>
      <c r="L37" s="19" t="s">
        <v>43</v>
      </c>
      <c r="M37" s="20">
        <v>44982</v>
      </c>
      <c r="N37" s="21" t="s">
        <v>92</v>
      </c>
      <c r="O37" s="21" t="s">
        <v>135</v>
      </c>
      <c r="P37" s="22" t="str">
        <f t="shared" si="0"/>
        <v>Unsucessfull</v>
      </c>
      <c r="Q37" s="23">
        <v>193.48</v>
      </c>
      <c r="R37" s="20">
        <v>45248</v>
      </c>
      <c r="S37" s="24" t="str">
        <f t="shared" ca="1" si="1"/>
        <v>WB19865586OJ</v>
      </c>
      <c r="U37" s="10" t="s">
        <v>43</v>
      </c>
      <c r="V37" s="29">
        <v>50</v>
      </c>
    </row>
    <row r="38" spans="7:26" ht="22.5">
      <c r="G38" s="15">
        <v>26</v>
      </c>
      <c r="H38" s="16" t="s">
        <v>136</v>
      </c>
      <c r="I38" s="16" t="s">
        <v>137</v>
      </c>
      <c r="J38" s="17" t="s">
        <v>138</v>
      </c>
      <c r="K38" s="18" t="s">
        <v>139</v>
      </c>
      <c r="L38" s="19" t="s">
        <v>20</v>
      </c>
      <c r="M38" s="20">
        <v>45229</v>
      </c>
      <c r="N38" s="21" t="s">
        <v>140</v>
      </c>
      <c r="O38" s="21" t="s">
        <v>141</v>
      </c>
      <c r="P38" s="22" t="str">
        <f t="shared" si="0"/>
        <v>Unsucessfull</v>
      </c>
      <c r="Q38" s="23">
        <v>222</v>
      </c>
      <c r="R38" s="20">
        <v>45249</v>
      </c>
      <c r="S38" s="24" t="str">
        <f t="shared" ca="1" si="1"/>
        <v>YP64256659FD</v>
      </c>
      <c r="U38" s="10" t="s">
        <v>37</v>
      </c>
      <c r="V38" s="30">
        <v>20</v>
      </c>
    </row>
    <row r="39" spans="7:26" ht="22.5">
      <c r="G39" s="26">
        <v>27</v>
      </c>
      <c r="H39" s="26" t="s">
        <v>142</v>
      </c>
      <c r="I39" s="26" t="s">
        <v>143</v>
      </c>
      <c r="J39" s="26" t="s">
        <v>144</v>
      </c>
      <c r="K39" s="26">
        <v>292292223</v>
      </c>
      <c r="L39" s="42" t="s">
        <v>43</v>
      </c>
      <c r="M39" s="40">
        <v>45237</v>
      </c>
      <c r="N39" s="26" t="s">
        <v>145</v>
      </c>
      <c r="O39" s="26" t="s">
        <v>146</v>
      </c>
      <c r="P39" s="26" t="str">
        <f>IF(N39=O39,"Successfull","Unsucessfull")</f>
        <v>Unsucessfull</v>
      </c>
      <c r="Q39" s="41">
        <v>200</v>
      </c>
      <c r="R39" s="40">
        <v>45237</v>
      </c>
      <c r="S39" s="26" t="str">
        <f ca="1">CHAR(RANDBETWEEN(65, 90)) &amp; CHAR(RANDBETWEEN(65, 90)) &amp; RANDBETWEEN(10000000, 99999999) &amp; CHAR(RANDBETWEEN(65, 90)) &amp; CHAR(RANDBETWEEN(65, 90))</f>
        <v>DP97163427LA</v>
      </c>
      <c r="U39" s="10" t="s">
        <v>20</v>
      </c>
      <c r="V39" s="30">
        <v>100</v>
      </c>
    </row>
    <row r="40" spans="7:26" ht="22.5">
      <c r="G40" s="26">
        <v>28</v>
      </c>
      <c r="H40" s="26" t="s">
        <v>147</v>
      </c>
      <c r="I40" s="26" t="s">
        <v>148</v>
      </c>
      <c r="J40" s="26" t="s">
        <v>149</v>
      </c>
      <c r="K40" s="26">
        <v>756678152222</v>
      </c>
      <c r="L40" s="26" t="s">
        <v>37</v>
      </c>
      <c r="M40" s="40">
        <v>45237</v>
      </c>
      <c r="N40" s="26" t="s">
        <v>150</v>
      </c>
      <c r="O40" s="26" t="s">
        <v>150</v>
      </c>
      <c r="P40" s="26" t="str">
        <f>IF(N40=O40,"Successfull","Unsucessfull")</f>
        <v>Successfull</v>
      </c>
      <c r="Q40" s="41">
        <v>222</v>
      </c>
      <c r="R40" s="40">
        <v>45238</v>
      </c>
      <c r="S40" s="26" t="str">
        <f ca="1">CHAR(RANDBETWEEN(65, 90)) &amp; CHAR(RANDBETWEEN(65, 90)) &amp; RANDBETWEEN(10000000, 99999999) &amp; CHAR(RANDBETWEEN(65, 90)) &amp; CHAR(RANDBETWEEN(65, 90))</f>
        <v>PS45662957AE</v>
      </c>
    </row>
    <row r="41" spans="7:26" ht="22.5"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39">
        <f>SUM(price)</f>
        <v>3322.87</v>
      </c>
      <c r="R41" s="26"/>
      <c r="S41" s="26"/>
    </row>
  </sheetData>
  <mergeCells count="1">
    <mergeCell ref="H4:R7"/>
  </mergeCells>
  <conditionalFormatting sqref="L12:L40">
    <cfRule type="cellIs" dxfId="61" priority="1" stopIfTrue="1" operator="equal">
      <formula>"Adult"</formula>
    </cfRule>
    <cfRule type="cellIs" dxfId="60" priority="2" stopIfTrue="1" operator="equal">
      <formula>"Child"</formula>
    </cfRule>
    <cfRule type="cellIs" dxfId="59" priority="3" stopIfTrue="1" operator="equal">
      <formula>"Concession "</formula>
    </cfRule>
  </conditionalFormatting>
  <conditionalFormatting sqref="L13:L40">
    <cfRule type="cellIs" dxfId="58" priority="4" stopIfTrue="1" operator="equal">
      <formula>"Concession"</formula>
    </cfRule>
  </conditionalFormatting>
  <conditionalFormatting sqref="P12:P40">
    <cfRule type="cellIs" dxfId="57" priority="5" stopIfTrue="1" operator="equal">
      <formula>"Unsucessfull"</formula>
    </cfRule>
    <cfRule type="cellIs" dxfId="56" priority="6" stopIfTrue="1" operator="equal">
      <formula>"Successfull"</formula>
    </cfRule>
  </conditionalFormatting>
  <dataValidations count="19">
    <dataValidation allowBlank="1" showInputMessage="1" showErrorMessage="1" promptTitle="FirstName" prompt="FirstName goes here" sqref="H12" xr:uid="{BCCB87FA-7313-4A52-B895-3CE05C8E3F14}"/>
    <dataValidation allowBlank="1" showInputMessage="1" showErrorMessage="1" promptTitle="ID" prompt="Number of Application goes here _x000a_" sqref="G12:G40" xr:uid="{4863575B-B906-4214-AFE5-A23902446B0E}"/>
    <dataValidation type="list" allowBlank="1" showInputMessage="1" showErrorMessage="1" errorTitle="incorrect ticket type" promptTitle="ticket type " prompt="Ticket type goes here " sqref="L13:L40" xr:uid="{08D1F7CE-8753-457E-85A0-C2FF265BC3D4}">
      <formula1>$U$37:$U$39</formula1>
    </dataValidation>
    <dataValidation allowBlank="1" showInputMessage="1" showErrorMessage="1" promptTitle="Ticket Code" prompt="Ticket code generated here" sqref="S12" xr:uid="{6B05CC11-E4C1-4AAD-AF68-8541D7D0E00F}"/>
    <dataValidation allowBlank="1" showInputMessage="1" showErrorMessage="1" promptTitle="Expiry Date" prompt="Expiry date goes here " sqref="R12" xr:uid="{206151E1-AEF2-44EB-A16F-10789EAAD5A6}"/>
    <dataValidation allowBlank="1" showInputMessage="1" showErrorMessage="1" promptTitle="Ticket Price" prompt="Ticket price goes here " sqref="Q12" xr:uid="{530CE24E-52BF-4FF8-BBEF-507574D687FB}"/>
    <dataValidation allowBlank="1" showInputMessage="1" showErrorMessage="1" promptTitle="Application Sucess" prompt="Application success generated here " sqref="P12:P40" xr:uid="{FED0FB1F-605D-4C2B-8BB0-B6DA8CA04527}"/>
    <dataValidation allowBlank="1" showInputMessage="1" showErrorMessage="1" promptTitle="Allocated Seat " prompt="Allocated seat goes here " sqref="O12:O40" xr:uid="{174301CC-1E76-41C5-9AE8-C96A4539D0D4}"/>
    <dataValidation allowBlank="1" showInputMessage="1" showErrorMessage="1" promptTitle="Requested Seating " prompt="Requsted seat goes here " sqref="N12:N40" xr:uid="{8D0DBAD4-DA20-4ACA-890D-98298C5BD7BA}"/>
    <dataValidation allowBlank="1" showInputMessage="1" showErrorMessage="1" promptTitle="Date Of Application" prompt="Date of application goes here" sqref="M12:M40" xr:uid="{161AC8FE-CC4E-4CB3-A5D3-E4C6851B6978}"/>
    <dataValidation allowBlank="1" showInputMessage="1" showErrorMessage="1" promptTitle="Contact Details" prompt="Phone number goes here " sqref="K12:K40" xr:uid="{02662DA1-99FA-4A31-8DA2-61C076999D55}"/>
    <dataValidation allowBlank="1" showInputMessage="1" showErrorMessage="1" promptTitle="Address" prompt="Home address goes here " sqref="J12:J40" xr:uid="{23686558-5820-42D9-A052-9E9B0205BD0C}"/>
    <dataValidation allowBlank="1" showInputMessage="1" showErrorMessage="1" promptTitle="Surename" prompt="Surename goes here " sqref="I12" xr:uid="{DFD8FF69-ED77-44BC-9CDB-48BE546F97EE}"/>
    <dataValidation type="list" allowBlank="1" showInputMessage="1" showErrorMessage="1" promptTitle="Ticket type" prompt="Ticket type goes here " sqref="L12" xr:uid="{BAD29386-5F68-4D44-8FAA-4A18C90A44CC}">
      <formula1>$K$12:$K$40</formula1>
    </dataValidation>
    <dataValidation allowBlank="1" showInputMessage="1" showErrorMessage="1" promptTitle="First Name" prompt="First name goes here _x000a_" sqref="H13:H40" xr:uid="{C12A8B28-BC77-4163-BD88-78838A6B21E2}"/>
    <dataValidation allowBlank="1" showInputMessage="1" showErrorMessage="1" promptTitle="Sure Name" prompt="Sure name goes here " sqref="I13:I40" xr:uid="{663B961D-C18B-4430-A13F-FF1E8806393E}"/>
    <dataValidation allowBlank="1" showInputMessage="1" showErrorMessage="1" promptTitle="Ticket price" prompt="Ticket price goes here" sqref="Q13:Q40" xr:uid="{AE6A0ED1-62E4-4E98-AAEF-B6CD4860F596}"/>
    <dataValidation allowBlank="1" showInputMessage="1" showErrorMessage="1" promptTitle="Expiry date" prompt="Ticket expiry date goes here " sqref="R13:R40" xr:uid="{4519E69B-5F74-436F-BAE9-A3BFF083529F}"/>
    <dataValidation allowBlank="1" showInputMessage="1" showErrorMessage="1" promptTitle="Unique Ticket Code" prompt="Unique ticket code goes here " sqref="S13:S40" xr:uid="{998C5979-41E5-45B9-A560-E737786E87FA}"/>
  </dataValidations>
  <hyperlinks>
    <hyperlink ref="M10" r:id="rId1" tooltip="Click to see teams website" xr:uid="{DB9C8B96-AB60-4AB1-B25A-762E24B2D995}"/>
    <hyperlink ref="M10:N10" r:id="rId2" tooltip="Click to see teams website" display="Manchester City's Website" xr:uid="{812F1477-4D74-4214-A9DF-7D20F6719755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5" name="Label 3">
              <controlPr defaultSize="0" autoFill="0" autoLine="0" autoPict="0">
                <anchor moveWithCells="1" sizeWithCells="1">
                  <from>
                    <xdr:col>21</xdr:col>
                    <xdr:colOff>495300</xdr:colOff>
                    <xdr:row>9</xdr:row>
                    <xdr:rowOff>314325</xdr:rowOff>
                  </from>
                  <to>
                    <xdr:col>22</xdr:col>
                    <xdr:colOff>285750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3B3A6-14B0-42BE-A2FE-988B35EC9388}">
  <sheetPr codeName="Sheet4">
    <tabColor rgb="FF00B0F0"/>
  </sheetPr>
  <dimension ref="N5:Z43"/>
  <sheetViews>
    <sheetView topLeftCell="B1" zoomScale="70" zoomScaleNormal="70" workbookViewId="0">
      <selection activeCell="R20" sqref="R20"/>
    </sheetView>
  </sheetViews>
  <sheetFormatPr defaultRowHeight="15"/>
  <cols>
    <col min="7" max="7" width="12.28515625" bestFit="1" customWidth="1"/>
    <col min="8" max="8" width="17.28515625" bestFit="1" customWidth="1"/>
    <col min="14" max="14" width="30.42578125" customWidth="1"/>
    <col min="15" max="15" width="48.7109375" customWidth="1"/>
    <col min="16" max="16" width="41.28515625" customWidth="1"/>
    <col min="17" max="17" width="41" customWidth="1"/>
    <col min="18" max="18" width="12.7109375" bestFit="1" customWidth="1"/>
  </cols>
  <sheetData>
    <row r="5" spans="14:26" ht="14.65" customHeight="1">
      <c r="N5" s="54" t="s">
        <v>1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4:26" ht="14.65" customHeight="1"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4:26" ht="14.65" customHeight="1"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4:26" ht="14.65" customHeight="1"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13" spans="14:26" ht="15.75" thickBot="1"/>
    <row r="14" spans="14:26" ht="32.25">
      <c r="N14" s="32" t="s">
        <v>151</v>
      </c>
      <c r="O14" s="27" t="s">
        <v>152</v>
      </c>
      <c r="R14" s="47" t="s">
        <v>153</v>
      </c>
    </row>
    <row r="15" spans="14:26" ht="32.25">
      <c r="N15" s="35" t="s">
        <v>43</v>
      </c>
      <c r="O15" s="27">
        <v>1337.23</v>
      </c>
      <c r="R15" s="48">
        <f>AVERAGE(Ticket_Holder_Details!Q17:Q37)</f>
        <v>109.68999999999998</v>
      </c>
    </row>
    <row r="16" spans="14:26" ht="32.25">
      <c r="N16" s="36" t="s">
        <v>37</v>
      </c>
      <c r="O16" s="27">
        <v>699.7</v>
      </c>
      <c r="R16" s="49">
        <f>AVERAGE(Ticket_Holder_Details!Q16:Q34)</f>
        <v>103.05842105263156</v>
      </c>
    </row>
    <row r="17" spans="14:18" ht="33" thickBot="1">
      <c r="N17" s="37" t="s">
        <v>154</v>
      </c>
      <c r="O17" s="27">
        <v>863.94</v>
      </c>
      <c r="R17" s="50">
        <f>AVERAGE(Ticket_Holder_Details!Q13:Q38)</f>
        <v>111.57192307692307</v>
      </c>
    </row>
    <row r="18" spans="14:18" ht="32.25">
      <c r="N18" s="33" t="s">
        <v>155</v>
      </c>
      <c r="O18" s="27">
        <v>2900.87</v>
      </c>
      <c r="R18" s="51">
        <f>SUM(R15:R17)</f>
        <v>324.32034412955466</v>
      </c>
    </row>
    <row r="19" spans="14:18" ht="35.25">
      <c r="N19" s="38" t="s">
        <v>156</v>
      </c>
      <c r="O19" s="34">
        <f>AVERAGE(O15:O17)</f>
        <v>966.95666666666659</v>
      </c>
    </row>
    <row r="24" spans="14:18">
      <c r="O24" s="43" t="s">
        <v>151</v>
      </c>
      <c r="P24" t="s">
        <v>152</v>
      </c>
    </row>
    <row r="25" spans="14:18">
      <c r="O25" s="44" t="s">
        <v>107</v>
      </c>
      <c r="P25">
        <v>66.34</v>
      </c>
    </row>
    <row r="26" spans="14:18">
      <c r="O26" s="45" t="s">
        <v>106</v>
      </c>
      <c r="P26">
        <v>66.34</v>
      </c>
    </row>
    <row r="27" spans="14:18">
      <c r="O27" s="46" t="s">
        <v>37</v>
      </c>
      <c r="P27">
        <v>66.34</v>
      </c>
    </row>
    <row r="28" spans="14:18">
      <c r="O28" s="44" t="s">
        <v>124</v>
      </c>
      <c r="P28">
        <v>131</v>
      </c>
    </row>
    <row r="29" spans="14:18">
      <c r="O29" s="45" t="s">
        <v>123</v>
      </c>
      <c r="P29">
        <v>131</v>
      </c>
    </row>
    <row r="30" spans="14:18">
      <c r="O30" s="46" t="s">
        <v>37</v>
      </c>
      <c r="P30">
        <v>131</v>
      </c>
    </row>
    <row r="31" spans="14:18">
      <c r="O31" s="44" t="s">
        <v>138</v>
      </c>
      <c r="P31">
        <v>222</v>
      </c>
    </row>
    <row r="32" spans="14:18">
      <c r="O32" s="45" t="s">
        <v>137</v>
      </c>
      <c r="P32">
        <v>222</v>
      </c>
    </row>
    <row r="33" spans="15:16">
      <c r="O33" s="46" t="s">
        <v>37</v>
      </c>
      <c r="P33">
        <v>222</v>
      </c>
    </row>
    <row r="34" spans="15:16">
      <c r="O34" s="44" t="s">
        <v>35</v>
      </c>
      <c r="P34">
        <v>110.1</v>
      </c>
    </row>
    <row r="35" spans="15:16">
      <c r="O35" s="45" t="s">
        <v>34</v>
      </c>
      <c r="P35">
        <v>110.1</v>
      </c>
    </row>
    <row r="36" spans="15:16">
      <c r="O36" s="46" t="s">
        <v>37</v>
      </c>
      <c r="P36">
        <v>110.1</v>
      </c>
    </row>
    <row r="37" spans="15:16">
      <c r="O37" s="44" t="s">
        <v>74</v>
      </c>
      <c r="P37">
        <v>110.56</v>
      </c>
    </row>
    <row r="38" spans="15:16">
      <c r="O38" s="45" t="s">
        <v>73</v>
      </c>
      <c r="P38">
        <v>110.56</v>
      </c>
    </row>
    <row r="39" spans="15:16">
      <c r="O39" s="46" t="s">
        <v>37</v>
      </c>
      <c r="P39">
        <v>110.56</v>
      </c>
    </row>
    <row r="40" spans="15:16">
      <c r="O40" s="44" t="s">
        <v>95</v>
      </c>
      <c r="P40">
        <v>59.7</v>
      </c>
    </row>
    <row r="41" spans="15:16">
      <c r="O41" s="45" t="s">
        <v>94</v>
      </c>
      <c r="P41">
        <v>59.7</v>
      </c>
    </row>
    <row r="42" spans="15:16">
      <c r="O42" s="46" t="s">
        <v>37</v>
      </c>
      <c r="P42">
        <v>59.7</v>
      </c>
    </row>
    <row r="43" spans="15:16">
      <c r="O43" s="44" t="s">
        <v>155</v>
      </c>
      <c r="P43">
        <v>699.7</v>
      </c>
    </row>
  </sheetData>
  <mergeCells count="1">
    <mergeCell ref="N5:Z8"/>
  </mergeCell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F6:S66"/>
  <sheetViews>
    <sheetView topLeftCell="E4" zoomScale="59" zoomScaleNormal="51" workbookViewId="0"/>
  </sheetViews>
  <sheetFormatPr defaultRowHeight="15"/>
  <cols>
    <col min="1" max="1" width="8.7109375" customWidth="1"/>
    <col min="2" max="2" width="11.7109375" bestFit="1" customWidth="1"/>
    <col min="3" max="3" width="24.42578125" bestFit="1" customWidth="1"/>
    <col min="4" max="4" width="20.7109375" bestFit="1" customWidth="1"/>
    <col min="5" max="5" width="61.28515625" bestFit="1" customWidth="1"/>
    <col min="6" max="6" width="19.42578125" customWidth="1"/>
    <col min="7" max="7" width="24" bestFit="1" customWidth="1"/>
    <col min="8" max="8" width="35.42578125" bestFit="1" customWidth="1"/>
    <col min="9" max="9" width="56.7109375" customWidth="1"/>
    <col min="10" max="11" width="39.42578125" bestFit="1" customWidth="1"/>
    <col min="12" max="12" width="31.7109375" bestFit="1" customWidth="1"/>
    <col min="13" max="13" width="39.42578125" bestFit="1" customWidth="1"/>
    <col min="14" max="14" width="24.7109375" bestFit="1" customWidth="1"/>
    <col min="15" max="15" width="37.42578125" customWidth="1"/>
    <col min="16" max="16" width="35.5703125" customWidth="1"/>
    <col min="17" max="17" width="26.140625" customWidth="1"/>
    <col min="18" max="18" width="30.7109375" customWidth="1"/>
    <col min="19" max="19" width="27.7109375" customWidth="1"/>
    <col min="20" max="20" width="22.28515625" customWidth="1"/>
    <col min="21" max="21" width="27.28515625" customWidth="1"/>
  </cols>
  <sheetData>
    <row r="6" spans="6:19" ht="14.65" customHeight="1">
      <c r="G6" s="54" t="s">
        <v>157</v>
      </c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6:19" ht="14.65" customHeight="1"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6:19" ht="14.65" customHeight="1"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6:19" ht="14.65" customHeight="1"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3" spans="6:19" ht="21">
      <c r="F13" s="11" t="s">
        <v>3</v>
      </c>
      <c r="G13" s="12" t="s">
        <v>4</v>
      </c>
      <c r="H13" s="12" t="s">
        <v>5</v>
      </c>
      <c r="I13" s="12" t="s">
        <v>6</v>
      </c>
      <c r="J13" s="12" t="s">
        <v>7</v>
      </c>
      <c r="K13" s="12" t="s">
        <v>8</v>
      </c>
      <c r="L13" s="14" t="s">
        <v>9</v>
      </c>
      <c r="M13" s="12" t="s">
        <v>158</v>
      </c>
      <c r="N13" s="12" t="s">
        <v>159</v>
      </c>
      <c r="O13" s="12" t="s">
        <v>160</v>
      </c>
      <c r="P13" s="12" t="s">
        <v>161</v>
      </c>
      <c r="Q13" s="12" t="s">
        <v>13</v>
      </c>
      <c r="R13" s="12" t="s">
        <v>14</v>
      </c>
      <c r="S13" s="13" t="s">
        <v>15</v>
      </c>
    </row>
    <row r="14" spans="6:19" ht="22.5">
      <c r="F14" s="15">
        <v>1</v>
      </c>
      <c r="G14" s="16" t="s">
        <v>16</v>
      </c>
      <c r="H14" s="16" t="s">
        <v>17</v>
      </c>
      <c r="I14" s="17" t="s">
        <v>18</v>
      </c>
      <c r="J14" s="25" t="s">
        <v>19</v>
      </c>
      <c r="K14" s="19" t="s">
        <v>43</v>
      </c>
      <c r="L14" s="20">
        <v>45028</v>
      </c>
      <c r="M14" s="21" t="s">
        <v>21</v>
      </c>
      <c r="N14" s="21" t="s">
        <v>22</v>
      </c>
      <c r="O14" s="21" t="str">
        <f>IF(Season_Ticket_Holder_Details_!$K14="Child","Child must have adult ","No restriction")</f>
        <v>No restriction</v>
      </c>
      <c r="P14" s="22" t="str">
        <f t="shared" ref="P14:P39" si="0">IF(M14=N14,"Successfull","Unsucessfull")</f>
        <v>Unsucessfull</v>
      </c>
      <c r="Q14" s="23">
        <v>54.72</v>
      </c>
      <c r="R14" s="20">
        <v>45224</v>
      </c>
      <c r="S14" s="24" t="str">
        <f t="shared" ref="S14:S39" ca="1" si="1">CHAR(RANDBETWEEN(65, 90)) &amp; CHAR(RANDBETWEEN(65, 90)) &amp; RANDBETWEEN(10000000, 99999999) &amp; CHAR(RANDBETWEEN(65, 90)) &amp; CHAR(RANDBETWEEN(65, 90))</f>
        <v>UL62412339CF</v>
      </c>
    </row>
    <row r="15" spans="6:19" ht="22.5">
      <c r="F15" s="15">
        <v>2</v>
      </c>
      <c r="G15" s="16" t="s">
        <v>23</v>
      </c>
      <c r="H15" s="16" t="s">
        <v>24</v>
      </c>
      <c r="I15" s="17" t="s">
        <v>25</v>
      </c>
      <c r="J15" s="25" t="s">
        <v>26</v>
      </c>
      <c r="K15" s="19" t="s">
        <v>37</v>
      </c>
      <c r="L15" s="20">
        <v>44951</v>
      </c>
      <c r="M15" s="21" t="s">
        <v>27</v>
      </c>
      <c r="N15" s="21" t="s">
        <v>27</v>
      </c>
      <c r="O15" s="21" t="str">
        <f>IF(Season_Ticket_Holder_Details_!$K15="Child","Child must have adult ","No restriction")</f>
        <v xml:space="preserve">Child must have adult </v>
      </c>
      <c r="P15" s="22" t="str">
        <f t="shared" si="0"/>
        <v>Successfull</v>
      </c>
      <c r="Q15" s="23">
        <v>110.56</v>
      </c>
      <c r="R15" s="20">
        <v>45225</v>
      </c>
      <c r="S15" s="24" t="str">
        <f t="shared" ca="1" si="1"/>
        <v>UH88595922NV</v>
      </c>
    </row>
    <row r="16" spans="6:19" ht="22.5">
      <c r="F16" s="15">
        <v>3</v>
      </c>
      <c r="G16" s="16" t="s">
        <v>28</v>
      </c>
      <c r="H16" s="16" t="s">
        <v>29</v>
      </c>
      <c r="I16" s="17" t="s">
        <v>30</v>
      </c>
      <c r="J16" s="25" t="s">
        <v>31</v>
      </c>
      <c r="K16" s="19" t="s">
        <v>43</v>
      </c>
      <c r="L16" s="20">
        <v>44970</v>
      </c>
      <c r="M16" s="21" t="s">
        <v>32</v>
      </c>
      <c r="N16" s="21" t="s">
        <v>32</v>
      </c>
      <c r="O16" s="21" t="str">
        <f>IF(Season_Ticket_Holder_Details_!$K16="Child","Child must have adult ","No restriction")</f>
        <v>No restriction</v>
      </c>
      <c r="P16" s="22" t="str">
        <f t="shared" si="0"/>
        <v>Successfull</v>
      </c>
      <c r="Q16" s="23">
        <v>112.65</v>
      </c>
      <c r="R16" s="20">
        <v>45226</v>
      </c>
      <c r="S16" s="24" t="str">
        <f t="shared" ca="1" si="1"/>
        <v>PQ52759257GJ</v>
      </c>
    </row>
    <row r="17" spans="6:19" ht="22.5">
      <c r="F17" s="15">
        <v>4</v>
      </c>
      <c r="G17" s="16" t="s">
        <v>33</v>
      </c>
      <c r="H17" s="16" t="s">
        <v>34</v>
      </c>
      <c r="I17" s="17" t="s">
        <v>35</v>
      </c>
      <c r="J17" s="25" t="s">
        <v>36</v>
      </c>
      <c r="K17" s="19" t="s">
        <v>37</v>
      </c>
      <c r="L17" s="20">
        <v>44957</v>
      </c>
      <c r="M17" s="21" t="s">
        <v>38</v>
      </c>
      <c r="N17" s="21" t="s">
        <v>38</v>
      </c>
      <c r="O17" s="21" t="str">
        <f>IF(Season_Ticket_Holder_Details_!$K17="Child","Child must have adult ","No restriction")</f>
        <v xml:space="preserve">Child must have adult </v>
      </c>
      <c r="P17" s="22" t="str">
        <f t="shared" si="0"/>
        <v>Successfull</v>
      </c>
      <c r="Q17" s="23">
        <v>93.33</v>
      </c>
      <c r="R17" s="20">
        <v>45227</v>
      </c>
      <c r="S17" s="24" t="str">
        <f t="shared" ca="1" si="1"/>
        <v>CB50094010GC</v>
      </c>
    </row>
    <row r="18" spans="6:19" ht="22.5">
      <c r="F18" s="15">
        <v>5</v>
      </c>
      <c r="G18" s="16" t="s">
        <v>39</v>
      </c>
      <c r="H18" s="16" t="s">
        <v>40</v>
      </c>
      <c r="I18" s="17" t="s">
        <v>41</v>
      </c>
      <c r="J18" s="25" t="s">
        <v>42</v>
      </c>
      <c r="K18" s="19" t="s">
        <v>43</v>
      </c>
      <c r="L18" s="20">
        <v>44999</v>
      </c>
      <c r="M18" s="21" t="s">
        <v>44</v>
      </c>
      <c r="N18" s="21" t="s">
        <v>45</v>
      </c>
      <c r="O18" s="21" t="str">
        <f>IF(Season_Ticket_Holder_Details_!$K18="Child","Child must have adult ","No restriction")</f>
        <v>No restriction</v>
      </c>
      <c r="P18" s="22" t="str">
        <f t="shared" si="0"/>
        <v>Unsucessfull</v>
      </c>
      <c r="Q18" s="23">
        <v>82.95</v>
      </c>
      <c r="R18" s="20">
        <v>45228</v>
      </c>
      <c r="S18" s="24" t="str">
        <f t="shared" ca="1" si="1"/>
        <v>MY99234964PZ</v>
      </c>
    </row>
    <row r="19" spans="6:19" ht="22.5">
      <c r="F19" s="15">
        <v>6</v>
      </c>
      <c r="G19" s="16" t="s">
        <v>46</v>
      </c>
      <c r="H19" s="16" t="s">
        <v>47</v>
      </c>
      <c r="I19" s="17" t="s">
        <v>48</v>
      </c>
      <c r="J19" s="25" t="s">
        <v>49</v>
      </c>
      <c r="K19" s="19" t="s">
        <v>43</v>
      </c>
      <c r="L19" s="20">
        <v>44980</v>
      </c>
      <c r="M19" s="21" t="s">
        <v>50</v>
      </c>
      <c r="N19" s="21" t="s">
        <v>50</v>
      </c>
      <c r="O19" s="21" t="str">
        <f>IF(Season_Ticket_Holder_Details_!$K19="Child","Child must have adult ","No restriction")</f>
        <v>No restriction</v>
      </c>
      <c r="P19" s="22" t="str">
        <f t="shared" si="0"/>
        <v>Successfull</v>
      </c>
      <c r="Q19" s="23">
        <v>187.95</v>
      </c>
      <c r="R19" s="20">
        <v>45229</v>
      </c>
      <c r="S19" s="24" t="str">
        <f t="shared" ca="1" si="1"/>
        <v>TG49302799OA</v>
      </c>
    </row>
    <row r="20" spans="6:19" ht="22.5">
      <c r="F20" s="15">
        <v>7</v>
      </c>
      <c r="G20" s="16" t="s">
        <v>51</v>
      </c>
      <c r="H20" s="16" t="s">
        <v>52</v>
      </c>
      <c r="I20" s="17" t="s">
        <v>53</v>
      </c>
      <c r="J20" s="25" t="s">
        <v>54</v>
      </c>
      <c r="K20" s="19" t="s">
        <v>154</v>
      </c>
      <c r="L20" s="20">
        <v>44910</v>
      </c>
      <c r="M20" s="21" t="s">
        <v>55</v>
      </c>
      <c r="N20" s="21" t="s">
        <v>56</v>
      </c>
      <c r="O20" s="21" t="str">
        <f>IF(Season_Ticket_Holder_Details_!$K20="Child","Child must have adult ","No restriction")</f>
        <v>No restriction</v>
      </c>
      <c r="P20" s="22" t="str">
        <f t="shared" si="0"/>
        <v>Unsucessfull</v>
      </c>
      <c r="Q20" s="23">
        <v>99.5</v>
      </c>
      <c r="R20" s="20">
        <v>45230</v>
      </c>
      <c r="S20" s="24" t="str">
        <f t="shared" ca="1" si="1"/>
        <v>QR77875081XW</v>
      </c>
    </row>
    <row r="21" spans="6:19" ht="22.5">
      <c r="F21" s="15">
        <v>8</v>
      </c>
      <c r="G21" s="16" t="s">
        <v>57</v>
      </c>
      <c r="H21" s="16" t="s">
        <v>58</v>
      </c>
      <c r="I21" s="17" t="s">
        <v>59</v>
      </c>
      <c r="J21" s="25" t="s">
        <v>60</v>
      </c>
      <c r="K21" s="19" t="s">
        <v>154</v>
      </c>
      <c r="L21" s="20">
        <v>44945</v>
      </c>
      <c r="M21" s="21" t="s">
        <v>61</v>
      </c>
      <c r="N21" s="21" t="s">
        <v>61</v>
      </c>
      <c r="O21" s="21" t="str">
        <f>IF(Season_Ticket_Holder_Details_!$K21="Child","Child must have adult ","No restriction")</f>
        <v>No restriction</v>
      </c>
      <c r="P21" s="22" t="str">
        <f t="shared" si="0"/>
        <v>Successfull</v>
      </c>
      <c r="Q21" s="23">
        <v>99.5</v>
      </c>
      <c r="R21" s="20">
        <v>45231</v>
      </c>
      <c r="S21" s="24" t="str">
        <f t="shared" ca="1" si="1"/>
        <v>OV81775826RF</v>
      </c>
    </row>
    <row r="22" spans="6:19" ht="22.5">
      <c r="F22" s="15">
        <v>9</v>
      </c>
      <c r="G22" s="16" t="s">
        <v>62</v>
      </c>
      <c r="H22" s="16" t="s">
        <v>63</v>
      </c>
      <c r="I22" s="17" t="s">
        <v>64</v>
      </c>
      <c r="J22" s="25" t="s">
        <v>65</v>
      </c>
      <c r="K22" s="19" t="s">
        <v>37</v>
      </c>
      <c r="L22" s="20">
        <v>45002</v>
      </c>
      <c r="M22" s="21" t="s">
        <v>66</v>
      </c>
      <c r="N22" s="21" t="s">
        <v>66</v>
      </c>
      <c r="O22" s="21" t="str">
        <f>IF(Season_Ticket_Holder_Details_!$K22="Child","Child must have adult ","No restriction")</f>
        <v xml:space="preserve">Child must have adult </v>
      </c>
      <c r="P22" s="22" t="str">
        <f t="shared" si="0"/>
        <v>Successfull</v>
      </c>
      <c r="Q22" s="23">
        <v>165.84</v>
      </c>
      <c r="R22" s="20">
        <v>45232</v>
      </c>
      <c r="S22" s="24" t="str">
        <f t="shared" ca="1" si="1"/>
        <v>GW80932774EW</v>
      </c>
    </row>
    <row r="23" spans="6:19" ht="22.5">
      <c r="F23" s="15">
        <v>10</v>
      </c>
      <c r="G23" s="16" t="s">
        <v>67</v>
      </c>
      <c r="H23" s="16" t="s">
        <v>68</v>
      </c>
      <c r="I23" s="17" t="s">
        <v>69</v>
      </c>
      <c r="J23" s="25" t="s">
        <v>70</v>
      </c>
      <c r="K23" s="19" t="s">
        <v>43</v>
      </c>
      <c r="L23" s="20">
        <v>44940</v>
      </c>
      <c r="M23" s="21" t="s">
        <v>21</v>
      </c>
      <c r="N23" s="21" t="s">
        <v>71</v>
      </c>
      <c r="O23" s="21" t="str">
        <f>IF(Season_Ticket_Holder_Details_!$K23="Child","Child must have adult ","No restriction")</f>
        <v>No restriction</v>
      </c>
      <c r="P23" s="22" t="str">
        <f t="shared" si="0"/>
        <v>Unsucessfull</v>
      </c>
      <c r="Q23" s="23">
        <v>92.87</v>
      </c>
      <c r="R23" s="20">
        <v>45233</v>
      </c>
      <c r="S23" s="24" t="str">
        <f t="shared" ca="1" si="1"/>
        <v>WY63512263IG</v>
      </c>
    </row>
    <row r="24" spans="6:19" ht="22.5">
      <c r="F24" s="15">
        <v>11</v>
      </c>
      <c r="G24" s="16" t="s">
        <v>72</v>
      </c>
      <c r="H24" s="16" t="s">
        <v>73</v>
      </c>
      <c r="I24" s="17" t="s">
        <v>74</v>
      </c>
      <c r="J24" s="25" t="s">
        <v>75</v>
      </c>
      <c r="K24" s="19" t="s">
        <v>37</v>
      </c>
      <c r="L24" s="20">
        <v>44959</v>
      </c>
      <c r="M24" s="21" t="s">
        <v>76</v>
      </c>
      <c r="N24" s="21" t="s">
        <v>76</v>
      </c>
      <c r="O24" s="21" t="str">
        <f>IF(Season_Ticket_Holder_Details_!$K24="Child","Child must have adult ","No restriction")</f>
        <v xml:space="preserve">Child must have adult </v>
      </c>
      <c r="P24" s="22" t="str">
        <f t="shared" si="0"/>
        <v>Successfull</v>
      </c>
      <c r="Q24" s="23">
        <v>110.56</v>
      </c>
      <c r="R24" s="20">
        <v>45234</v>
      </c>
      <c r="S24" s="24" t="str">
        <f t="shared" ca="1" si="1"/>
        <v>YK22033838KA</v>
      </c>
    </row>
    <row r="25" spans="6:19" ht="22.5">
      <c r="F25" s="15">
        <v>12</v>
      </c>
      <c r="G25" s="16" t="s">
        <v>77</v>
      </c>
      <c r="H25" s="16" t="s">
        <v>78</v>
      </c>
      <c r="I25" s="17" t="s">
        <v>79</v>
      </c>
      <c r="J25" s="25" t="s">
        <v>80</v>
      </c>
      <c r="K25" s="19" t="s">
        <v>154</v>
      </c>
      <c r="L25" s="20">
        <v>44923</v>
      </c>
      <c r="M25" s="21" t="s">
        <v>66</v>
      </c>
      <c r="N25" s="21" t="s">
        <v>81</v>
      </c>
      <c r="O25" s="21" t="str">
        <f>IF(Season_Ticket_Holder_Details_!$K25="Child","Child must have adult ","No restriction")</f>
        <v>No restriction</v>
      </c>
      <c r="P25" s="22" t="str">
        <f t="shared" si="0"/>
        <v>Unsucessfull</v>
      </c>
      <c r="Q25" s="23">
        <v>160.31</v>
      </c>
      <c r="R25" s="20">
        <v>45235</v>
      </c>
      <c r="S25" s="24" t="str">
        <f t="shared" ca="1" si="1"/>
        <v>UH67405138MF</v>
      </c>
    </row>
    <row r="26" spans="6:19" ht="22.5">
      <c r="F26" s="15">
        <v>13</v>
      </c>
      <c r="G26" s="16" t="s">
        <v>82</v>
      </c>
      <c r="H26" s="16" t="s">
        <v>83</v>
      </c>
      <c r="I26" s="17" t="s">
        <v>84</v>
      </c>
      <c r="J26" s="25" t="s">
        <v>85</v>
      </c>
      <c r="K26" s="19" t="s">
        <v>43</v>
      </c>
      <c r="L26" s="20">
        <v>44955</v>
      </c>
      <c r="M26" s="21" t="s">
        <v>86</v>
      </c>
      <c r="N26" s="21" t="s">
        <v>87</v>
      </c>
      <c r="O26" s="21" t="str">
        <f>IF(Season_Ticket_Holder_Details_!$K26="Child","Child must have adult ","No restriction")</f>
        <v>No restriction</v>
      </c>
      <c r="P26" s="22" t="str">
        <f t="shared" si="0"/>
        <v>Unsucessfull</v>
      </c>
      <c r="Q26" s="23">
        <v>99.5</v>
      </c>
      <c r="R26" s="20">
        <v>45236</v>
      </c>
      <c r="S26" s="24" t="str">
        <f t="shared" ca="1" si="1"/>
        <v>TU27242972HY</v>
      </c>
    </row>
    <row r="27" spans="6:19" ht="22.5">
      <c r="F27" s="15">
        <v>14</v>
      </c>
      <c r="G27" s="16" t="s">
        <v>88</v>
      </c>
      <c r="H27" s="16" t="s">
        <v>89</v>
      </c>
      <c r="I27" s="17" t="s">
        <v>90</v>
      </c>
      <c r="J27" s="25" t="s">
        <v>91</v>
      </c>
      <c r="K27" s="19" t="s">
        <v>43</v>
      </c>
      <c r="L27" s="20">
        <v>44971</v>
      </c>
      <c r="M27" s="21" t="s">
        <v>92</v>
      </c>
      <c r="N27" s="21" t="s">
        <v>92</v>
      </c>
      <c r="O27" s="21" t="str">
        <f>IF(Season_Ticket_Holder_Details_!$K27="Child","Child must have adult ","No restriction")</f>
        <v>No restriction</v>
      </c>
      <c r="P27" s="22" t="str">
        <f t="shared" si="0"/>
        <v>Successfull</v>
      </c>
      <c r="Q27" s="23">
        <v>165.84</v>
      </c>
      <c r="R27" s="20">
        <v>45237</v>
      </c>
      <c r="S27" s="24" t="str">
        <f t="shared" ca="1" si="1"/>
        <v>UY81579476KS</v>
      </c>
    </row>
    <row r="28" spans="6:19" ht="22.5">
      <c r="F28" s="15">
        <v>15</v>
      </c>
      <c r="G28" s="16" t="s">
        <v>93</v>
      </c>
      <c r="H28" s="16" t="s">
        <v>94</v>
      </c>
      <c r="I28" s="17" t="s">
        <v>95</v>
      </c>
      <c r="J28" s="25" t="s">
        <v>96</v>
      </c>
      <c r="K28" s="19" t="s">
        <v>43</v>
      </c>
      <c r="L28" s="20">
        <v>44945</v>
      </c>
      <c r="M28" s="21" t="s">
        <v>97</v>
      </c>
      <c r="N28" s="21" t="s">
        <v>98</v>
      </c>
      <c r="O28" s="21" t="str">
        <f>IF(Season_Ticket_Holder_Details_!$K28="Child","Child must have adult ","No restriction")</f>
        <v>No restriction</v>
      </c>
      <c r="P28" s="22" t="str">
        <f t="shared" si="0"/>
        <v>Unsucessfull</v>
      </c>
      <c r="Q28" s="23">
        <v>59.7</v>
      </c>
      <c r="R28" s="20">
        <v>45238</v>
      </c>
      <c r="S28" s="24" t="str">
        <f t="shared" ca="1" si="1"/>
        <v>PT41448947KB</v>
      </c>
    </row>
    <row r="29" spans="6:19" ht="22.5">
      <c r="F29" s="15">
        <v>16</v>
      </c>
      <c r="G29" s="16" t="s">
        <v>99</v>
      </c>
      <c r="H29" s="16" t="s">
        <v>94</v>
      </c>
      <c r="I29" s="17" t="s">
        <v>95</v>
      </c>
      <c r="J29" s="25" t="s">
        <v>96</v>
      </c>
      <c r="K29" s="19" t="s">
        <v>37</v>
      </c>
      <c r="L29" s="20">
        <v>44945</v>
      </c>
      <c r="M29" s="21" t="s">
        <v>97</v>
      </c>
      <c r="N29" s="21" t="s">
        <v>98</v>
      </c>
      <c r="O29" s="21" t="str">
        <f>IF(Season_Ticket_Holder_Details_!$K29="Child","Child must have adult ","No restriction")</f>
        <v xml:space="preserve">Child must have adult </v>
      </c>
      <c r="P29" s="22" t="str">
        <f t="shared" si="0"/>
        <v>Unsucessfull</v>
      </c>
      <c r="Q29" s="23">
        <v>59.7</v>
      </c>
      <c r="R29" s="20">
        <v>45239</v>
      </c>
      <c r="S29" s="24" t="str">
        <f t="shared" ca="1" si="1"/>
        <v>HJ90077553GM</v>
      </c>
    </row>
    <row r="30" spans="6:19" ht="22.5">
      <c r="F30" s="15">
        <v>17</v>
      </c>
      <c r="G30" s="16" t="s">
        <v>100</v>
      </c>
      <c r="H30" s="16" t="s">
        <v>101</v>
      </c>
      <c r="I30" s="17" t="s">
        <v>102</v>
      </c>
      <c r="J30" s="25" t="s">
        <v>103</v>
      </c>
      <c r="K30" s="19" t="s">
        <v>43</v>
      </c>
      <c r="L30" s="20">
        <v>44927</v>
      </c>
      <c r="M30" s="21" t="s">
        <v>66</v>
      </c>
      <c r="N30" s="21" t="s">
        <v>104</v>
      </c>
      <c r="O30" s="21" t="str">
        <f>IF(Season_Ticket_Holder_Details_!$K30="Child","Child must have adult ","No restriction")</f>
        <v>No restriction</v>
      </c>
      <c r="P30" s="22" t="str">
        <f t="shared" si="0"/>
        <v>Unsucessfull</v>
      </c>
      <c r="Q30" s="23">
        <v>55.28</v>
      </c>
      <c r="R30" s="20">
        <v>45240</v>
      </c>
      <c r="S30" s="24" t="str">
        <f t="shared" ca="1" si="1"/>
        <v>IA66244672MT</v>
      </c>
    </row>
    <row r="31" spans="6:19" ht="22.5">
      <c r="F31" s="15">
        <v>18</v>
      </c>
      <c r="G31" s="16" t="s">
        <v>105</v>
      </c>
      <c r="H31" s="16" t="s">
        <v>106</v>
      </c>
      <c r="I31" s="17" t="s">
        <v>107</v>
      </c>
      <c r="J31" s="25" t="s">
        <v>108</v>
      </c>
      <c r="K31" s="19" t="s">
        <v>43</v>
      </c>
      <c r="L31" s="20">
        <v>44969</v>
      </c>
      <c r="M31" s="21" t="s">
        <v>109</v>
      </c>
      <c r="N31" s="21" t="s">
        <v>110</v>
      </c>
      <c r="O31" s="21" t="str">
        <f>IF(Season_Ticket_Holder_Details_!$K31="Child","Child must have adult ","No restriction")</f>
        <v>No restriction</v>
      </c>
      <c r="P31" s="22" t="str">
        <f t="shared" si="0"/>
        <v>Unsucessfull</v>
      </c>
      <c r="Q31" s="23">
        <v>66.34</v>
      </c>
      <c r="R31" s="20">
        <v>45241</v>
      </c>
      <c r="S31" s="24" t="str">
        <f t="shared" ca="1" si="1"/>
        <v>LM26691856WJ</v>
      </c>
    </row>
    <row r="32" spans="6:19" ht="22.5">
      <c r="F32" s="15">
        <v>19</v>
      </c>
      <c r="G32" s="16" t="s">
        <v>111</v>
      </c>
      <c r="H32" s="16" t="s">
        <v>106</v>
      </c>
      <c r="I32" s="17" t="s">
        <v>107</v>
      </c>
      <c r="J32" s="25" t="s">
        <v>108</v>
      </c>
      <c r="K32" s="19" t="s">
        <v>37</v>
      </c>
      <c r="L32" s="20">
        <v>44969</v>
      </c>
      <c r="M32" s="21" t="s">
        <v>109</v>
      </c>
      <c r="N32" s="21" t="s">
        <v>110</v>
      </c>
      <c r="O32" s="21" t="str">
        <f>IF(Season_Ticket_Holder_Details_!$K32="Child","Child must have adult ","No restriction")</f>
        <v xml:space="preserve">Child must have adult </v>
      </c>
      <c r="P32" s="22" t="str">
        <f t="shared" si="0"/>
        <v>Unsucessfull</v>
      </c>
      <c r="Q32" s="23">
        <v>66.34</v>
      </c>
      <c r="R32" s="20">
        <v>45242</v>
      </c>
      <c r="S32" s="24" t="str">
        <f t="shared" ca="1" si="1"/>
        <v>UU57405903TX</v>
      </c>
    </row>
    <row r="33" spans="6:19" ht="22.5">
      <c r="F33" s="15">
        <v>20</v>
      </c>
      <c r="G33" s="16" t="s">
        <v>112</v>
      </c>
      <c r="H33" s="16" t="s">
        <v>113</v>
      </c>
      <c r="I33" s="17" t="s">
        <v>114</v>
      </c>
      <c r="J33" s="25" t="s">
        <v>115</v>
      </c>
      <c r="K33" s="19" t="s">
        <v>154</v>
      </c>
      <c r="L33" s="20">
        <v>44984</v>
      </c>
      <c r="M33" s="21" t="s">
        <v>116</v>
      </c>
      <c r="N33" s="21" t="s">
        <v>117</v>
      </c>
      <c r="O33" s="21" t="str">
        <f>IF(Season_Ticket_Holder_Details_!$K33="Child","Child must have adult ","No restriction")</f>
        <v>No restriction</v>
      </c>
      <c r="P33" s="22" t="str">
        <f t="shared" si="0"/>
        <v>Unsucessfull</v>
      </c>
      <c r="Q33" s="23">
        <v>42.01</v>
      </c>
      <c r="R33" s="20">
        <v>45243</v>
      </c>
      <c r="S33" s="24" t="str">
        <f t="shared" ca="1" si="1"/>
        <v>QN30176392ZR</v>
      </c>
    </row>
    <row r="34" spans="6:19" ht="22.5">
      <c r="F34" s="15">
        <v>21</v>
      </c>
      <c r="G34" s="16" t="s">
        <v>118</v>
      </c>
      <c r="H34" s="16" t="s">
        <v>119</v>
      </c>
      <c r="I34" s="17" t="s">
        <v>120</v>
      </c>
      <c r="J34" s="25" t="s">
        <v>121</v>
      </c>
      <c r="K34" s="19" t="s">
        <v>43</v>
      </c>
      <c r="L34" s="20">
        <v>44928</v>
      </c>
      <c r="M34" s="21" t="s">
        <v>86</v>
      </c>
      <c r="N34" s="21" t="s">
        <v>66</v>
      </c>
      <c r="O34" s="21" t="str">
        <f>IF(Season_Ticket_Holder_Details_!$K34="Child","Child must have adult ","No restriction")</f>
        <v>No restriction</v>
      </c>
      <c r="P34" s="22" t="str">
        <f t="shared" si="0"/>
        <v>Unsucessfull</v>
      </c>
      <c r="Q34" s="23">
        <v>102.82</v>
      </c>
      <c r="R34" s="20">
        <v>45244</v>
      </c>
      <c r="S34" s="24" t="str">
        <f t="shared" ca="1" si="1"/>
        <v>RE40105280AA</v>
      </c>
    </row>
    <row r="35" spans="6:19" ht="22.5">
      <c r="F35" s="15">
        <v>22</v>
      </c>
      <c r="G35" s="16" t="s">
        <v>122</v>
      </c>
      <c r="H35" s="16" t="s">
        <v>123</v>
      </c>
      <c r="I35" s="17" t="s">
        <v>124</v>
      </c>
      <c r="J35" s="25" t="s">
        <v>125</v>
      </c>
      <c r="K35" s="19" t="s">
        <v>37</v>
      </c>
      <c r="L35" s="20">
        <v>44999</v>
      </c>
      <c r="M35" s="21" t="s">
        <v>126</v>
      </c>
      <c r="N35" s="21" t="s">
        <v>126</v>
      </c>
      <c r="O35" s="21" t="str">
        <f>IF(Season_Ticket_Holder_Details_!$K35="Child","Child must have adult ","No restriction")</f>
        <v xml:space="preserve">Child must have adult </v>
      </c>
      <c r="P35" s="22" t="str">
        <f t="shared" si="0"/>
        <v>Successfull</v>
      </c>
      <c r="Q35" s="23">
        <v>131</v>
      </c>
      <c r="R35" s="20">
        <v>45245</v>
      </c>
      <c r="S35" s="24" t="str">
        <f t="shared" ca="1" si="1"/>
        <v>OO95474618ZX</v>
      </c>
    </row>
    <row r="36" spans="6:19" ht="22.5">
      <c r="F36" s="15">
        <v>23</v>
      </c>
      <c r="G36" s="16" t="s">
        <v>127</v>
      </c>
      <c r="H36" s="16" t="s">
        <v>123</v>
      </c>
      <c r="I36" s="17" t="s">
        <v>124</v>
      </c>
      <c r="J36" s="25" t="s">
        <v>125</v>
      </c>
      <c r="K36" s="19" t="s">
        <v>43</v>
      </c>
      <c r="L36" s="20">
        <v>44999</v>
      </c>
      <c r="M36" s="21" t="s">
        <v>126</v>
      </c>
      <c r="N36" s="21" t="s">
        <v>126</v>
      </c>
      <c r="O36" s="21" t="str">
        <f>IF(Season_Ticket_Holder_Details_!$K36="Child","Child must have adult ","No restriction")</f>
        <v>No restriction</v>
      </c>
      <c r="P36" s="22" t="str">
        <f t="shared" si="0"/>
        <v>Successfull</v>
      </c>
      <c r="Q36" s="23">
        <v>131</v>
      </c>
      <c r="R36" s="20">
        <v>45246</v>
      </c>
      <c r="S36" s="24" t="str">
        <f t="shared" ca="1" si="1"/>
        <v>UT38988755QS</v>
      </c>
    </row>
    <row r="37" spans="6:19" ht="22.5">
      <c r="F37" s="15">
        <v>24</v>
      </c>
      <c r="G37" s="16" t="s">
        <v>128</v>
      </c>
      <c r="H37" s="16" t="s">
        <v>123</v>
      </c>
      <c r="I37" s="17" t="s">
        <v>124</v>
      </c>
      <c r="J37" s="25" t="s">
        <v>125</v>
      </c>
      <c r="K37" s="19" t="s">
        <v>37</v>
      </c>
      <c r="L37" s="20">
        <v>44999</v>
      </c>
      <c r="M37" s="21" t="s">
        <v>126</v>
      </c>
      <c r="N37" s="21" t="s">
        <v>126</v>
      </c>
      <c r="O37" s="21" t="str">
        <f>IF(Season_Ticket_Holder_Details_!$K37="Child","Child must have adult ","No restriction")</f>
        <v xml:space="preserve">Child must have adult </v>
      </c>
      <c r="P37" s="22" t="str">
        <f t="shared" si="0"/>
        <v>Successfull</v>
      </c>
      <c r="Q37" s="23">
        <v>131</v>
      </c>
      <c r="R37" s="20">
        <v>45247</v>
      </c>
      <c r="S37" s="24" t="str">
        <f t="shared" ca="1" si="1"/>
        <v>RD91274237PP</v>
      </c>
    </row>
    <row r="38" spans="6:19" ht="22.5">
      <c r="F38" s="15">
        <v>25</v>
      </c>
      <c r="G38" s="16" t="s">
        <v>131</v>
      </c>
      <c r="H38" s="16" t="s">
        <v>132</v>
      </c>
      <c r="I38" s="17" t="s">
        <v>133</v>
      </c>
      <c r="J38" s="25" t="s">
        <v>134</v>
      </c>
      <c r="K38" s="19" t="s">
        <v>37</v>
      </c>
      <c r="L38" s="20">
        <v>44982</v>
      </c>
      <c r="M38" s="21" t="s">
        <v>92</v>
      </c>
      <c r="N38" s="21" t="s">
        <v>135</v>
      </c>
      <c r="O38" s="21" t="str">
        <f>IF(Season_Ticket_Holder_Details_!$K38="Child","Child must have adult ","No restriction")</f>
        <v xml:space="preserve">Child must have adult </v>
      </c>
      <c r="P38" s="22" t="str">
        <f t="shared" si="0"/>
        <v>Unsucessfull</v>
      </c>
      <c r="Q38" s="23">
        <v>193.48</v>
      </c>
      <c r="R38" s="20">
        <v>45248</v>
      </c>
      <c r="S38" s="24" t="str">
        <f t="shared" ca="1" si="1"/>
        <v>OH21184699KU</v>
      </c>
    </row>
    <row r="39" spans="6:19" ht="22.5">
      <c r="F39" s="15">
        <v>26</v>
      </c>
      <c r="G39" s="16" t="s">
        <v>136</v>
      </c>
      <c r="H39" s="16" t="s">
        <v>137</v>
      </c>
      <c r="I39" s="17" t="s">
        <v>138</v>
      </c>
      <c r="J39" s="25" t="s">
        <v>139</v>
      </c>
      <c r="K39" s="19" t="s">
        <v>37</v>
      </c>
      <c r="L39" s="20">
        <v>45229</v>
      </c>
      <c r="M39" s="21" t="s">
        <v>140</v>
      </c>
      <c r="N39" s="21" t="s">
        <v>141</v>
      </c>
      <c r="O39" s="21" t="str">
        <f>IF(Season_Ticket_Holder_Details_!$K39="Child","Child must have adult ","No restriction")</f>
        <v xml:space="preserve">Child must have adult </v>
      </c>
      <c r="P39" s="22" t="str">
        <f t="shared" si="0"/>
        <v>Unsucessfull</v>
      </c>
      <c r="Q39" s="23"/>
      <c r="R39" s="20"/>
      <c r="S39" s="24" t="str">
        <f t="shared" ca="1" si="1"/>
        <v>QT50466356YP</v>
      </c>
    </row>
    <row r="45" spans="6:19">
      <c r="R45" s="6" t="s">
        <v>129</v>
      </c>
      <c r="S45" s="6" t="s">
        <v>130</v>
      </c>
    </row>
    <row r="46" spans="6:19">
      <c r="R46" s="7" t="s">
        <v>43</v>
      </c>
      <c r="S46" s="8">
        <v>50</v>
      </c>
    </row>
    <row r="47" spans="6:19">
      <c r="R47" s="7" t="s">
        <v>37</v>
      </c>
      <c r="S47" s="9">
        <v>20</v>
      </c>
    </row>
    <row r="48" spans="6:19">
      <c r="R48" s="7" t="s">
        <v>20</v>
      </c>
      <c r="S48" s="9">
        <v>100</v>
      </c>
    </row>
    <row r="63" spans="13:13"/>
    <row r="66" spans="10:10"/>
  </sheetData>
  <mergeCells count="1">
    <mergeCell ref="G6:Q9"/>
  </mergeCells>
  <conditionalFormatting sqref="K13:K39">
    <cfRule type="cellIs" dxfId="24" priority="1" stopIfTrue="1" operator="equal">
      <formula>"Adult"</formula>
    </cfRule>
    <cfRule type="cellIs" dxfId="23" priority="2" stopIfTrue="1" operator="equal">
      <formula>"Child"</formula>
    </cfRule>
    <cfRule type="cellIs" dxfId="22" priority="3" stopIfTrue="1" operator="equal">
      <formula>"Concession "</formula>
    </cfRule>
  </conditionalFormatting>
  <conditionalFormatting sqref="K14:K39">
    <cfRule type="cellIs" dxfId="21" priority="4" stopIfTrue="1" operator="equal">
      <formula>"Concession"</formula>
    </cfRule>
  </conditionalFormatting>
  <conditionalFormatting sqref="O14:O39">
    <cfRule type="cellIs" dxfId="20" priority="7" stopIfTrue="1" operator="equal">
      <formula>$O$26</formula>
    </cfRule>
    <cfRule type="cellIs" dxfId="19" priority="8" stopIfTrue="1" operator="equal">
      <formula>$O$17</formula>
    </cfRule>
    <cfRule type="cellIs" dxfId="18" priority="9" stopIfTrue="1" operator="equal">
      <formula>$O$15</formula>
    </cfRule>
  </conditionalFormatting>
  <conditionalFormatting sqref="P14:P39">
    <cfRule type="cellIs" dxfId="17" priority="10" stopIfTrue="1" operator="equal">
      <formula>$P$15</formula>
    </cfRule>
    <cfRule type="cellIs" dxfId="16" priority="11" stopIfTrue="1" operator="equal">
      <formula>$P$14</formula>
    </cfRule>
  </conditionalFormatting>
  <dataValidations count="16">
    <dataValidation allowBlank="1" showInputMessage="1" showErrorMessage="1" promptTitle="Date Of Application" prompt="Date of application goes here_x000a_" sqref="L13:L39" xr:uid="{00000000-0002-0000-0300-000000000000}"/>
    <dataValidation allowBlank="1" showInputMessage="1" showErrorMessage="1" promptTitle="Requested Seating Area" prompt="Requested seating area goes here " sqref="M13 M14:M39" xr:uid="{00000000-0002-0000-0300-000001000000}"/>
    <dataValidation allowBlank="1" showInputMessage="1" showErrorMessage="1" promptTitle="Allocated Seating Area" prompt="Allocated seating area goes here " sqref="N13" xr:uid="{00000000-0002-0000-0300-000002000000}"/>
    <dataValidation allowBlank="1" showInputMessage="1" showErrorMessage="1" promptTitle="Restrictions" prompt="The restrictions are generated here_x000a_" sqref="O13:O39" xr:uid="{00000000-0002-0000-0300-000004000000}"/>
    <dataValidation allowBlank="1" showInputMessage="1" showErrorMessage="1" promptTitle="Application Success" prompt="The success of the application is generated here " sqref="P13:P39" xr:uid="{00000000-0002-0000-0300-000005000000}"/>
    <dataValidation allowBlank="1" showInputMessage="1" showErrorMessage="1" promptTitle="Ticket Price" prompt="Ticket prices are put here / generated " sqref="Q13:Q39" xr:uid="{00000000-0002-0000-0300-000006000000}"/>
    <dataValidation allowBlank="1" showInputMessage="1" showErrorMessage="1" promptTitle="Expiry date " prompt="Expiry date goes here" sqref="R13:R39" xr:uid="{00000000-0002-0000-0300-000007000000}"/>
    <dataValidation allowBlank="1" showInputMessage="1" showErrorMessage="1" promptTitle="Ticket code" prompt="Ticket codes are generated here " sqref="S13:S39" xr:uid="{00000000-0002-0000-0300-000008000000}"/>
    <dataValidation allowBlank="1" showInputMessage="1" showErrorMessage="1" promptTitle="Contact Details " prompt="Phone number goes here " sqref="J13:J39" xr:uid="{00000000-0002-0000-0300-000009000000}"/>
    <dataValidation allowBlank="1" showInputMessage="1" showErrorMessage="1" promptTitle="Address" prompt="Home address goes here" sqref="I13:I39" xr:uid="{00000000-0002-0000-0300-00000A000000}"/>
    <dataValidation allowBlank="1" showInputMessage="1" showErrorMessage="1" promptTitle="Surname" prompt="Surname goes here" sqref="H13:H39" xr:uid="{00000000-0002-0000-0300-00000B000000}"/>
    <dataValidation allowBlank="1" showInputMessage="1" showErrorMessage="1" promptTitle="First Name" prompt="First name goes here " sqref="G13:G39" xr:uid="{00000000-0002-0000-0300-00000C000000}"/>
    <dataValidation allowBlank="1" showInputMessage="1" showErrorMessage="1" promptTitle="ID" prompt="number of applications" sqref="F13:F39" xr:uid="{00000000-0002-0000-0300-00000D000000}"/>
    <dataValidation type="list" allowBlank="1" showInputMessage="1" showErrorMessage="1" sqref="K13" xr:uid="{00000000-0002-0000-0300-00000E000000}">
      <formula1>$R$46:$R$48</formula1>
    </dataValidation>
    <dataValidation allowBlank="1" showInputMessage="1" showErrorMessage="1" promptTitle="Ticket Type" prompt="Select ticket type here " sqref="K14:K39" xr:uid="{6810380C-1B68-45F9-9F15-041DC7B5DED8}"/>
    <dataValidation allowBlank="1" showInputMessage="1" showErrorMessage="1" promptTitle="Allocated Seating" prompt="Allocated seating area goes here " sqref="N14:N39" xr:uid="{A63D575A-2867-4846-8177-AB18C09703B2}"/>
  </dataValidations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drawing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74F2CB77BDAAF4294775377E92457B2" ma:contentTypeVersion="14" ma:contentTypeDescription="Create a new document." ma:contentTypeScope="" ma:versionID="0dbecd45436b223ef28781e1d9269b65">
  <xsd:schema xmlns:xsd="http://www.w3.org/2001/XMLSchema" xmlns:xs="http://www.w3.org/2001/XMLSchema" xmlns:p="http://schemas.microsoft.com/office/2006/metadata/properties" xmlns:ns2="2f6781e6-2dc7-4033-983f-b0131cebdd56" xmlns:ns3="6e3d06f0-5ffd-4ee4-b9e8-f1332be8589b" targetNamespace="http://schemas.microsoft.com/office/2006/metadata/properties" ma:root="true" ma:fieldsID="2c71648d3706239241009dbf70daba33" ns2:_="" ns3:_="">
    <xsd:import namespace="2f6781e6-2dc7-4033-983f-b0131cebdd56"/>
    <xsd:import namespace="6e3d06f0-5ffd-4ee4-b9e8-f1332be8589b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6781e6-2dc7-4033-983f-b0131cebdd56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2174d45-88b5-42de-a6a5-c4707a472b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3d06f0-5ffd-4ee4-b9e8-f1332be8589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fbfa07ee-6fb7-4a25-a77d-3e12a5e57570}" ma:internalName="TaxCatchAll" ma:showField="CatchAllData" ma:web="6e3d06f0-5ffd-4ee4-b9e8-f1332be858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f6781e6-2dc7-4033-983f-b0131cebdd56" xsi:nil="true"/>
    <TaxCatchAll xmlns="6e3d06f0-5ffd-4ee4-b9e8-f1332be8589b" xsi:nil="true"/>
    <lcf76f155ced4ddcb4097134ff3c332f xmlns="2f6781e6-2dc7-4033-983f-b0131cebdd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7EACA7-FD5C-4905-8057-8FD7493EBBE3}"/>
</file>

<file path=customXml/itemProps2.xml><?xml version="1.0" encoding="utf-8"?>
<ds:datastoreItem xmlns:ds="http://schemas.openxmlformats.org/officeDocument/2006/customXml" ds:itemID="{638CDC1D-F4D2-48E1-9DED-448C799FD6CB}"/>
</file>

<file path=customXml/itemProps3.xml><?xml version="1.0" encoding="utf-8"?>
<ds:datastoreItem xmlns:ds="http://schemas.openxmlformats.org/officeDocument/2006/customXml" ds:itemID="{01C9888C-6822-442F-B939-67BB2EB0F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Rish Saddiq</dc:creator>
  <cp:keywords/>
  <dc:description/>
  <cp:lastModifiedBy>Alya Ghulam</cp:lastModifiedBy>
  <cp:revision/>
  <dcterms:created xsi:type="dcterms:W3CDTF">2023-10-30T12:15:01Z</dcterms:created>
  <dcterms:modified xsi:type="dcterms:W3CDTF">2023-12-18T18:36:50Z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0x010100F74F2CB77BDAAF4294775377E92457B2</vt:lpwstr>
  </property>
  <property fmtid="{D5CDD505-2E9C-101B-9397-08002B2CF9AE}" pid="3" name="MediaServiceImageTags">
    <vt:lpwstr/>
  </property>
</Properties>
</file>